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 KPI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b val="1"/>
      <color rgb="001E2761"/>
      <sz val="13"/>
    </font>
    <font>
      <name val="Arial"/>
      <sz val="10"/>
    </font>
    <font>
      <name val="Arial"/>
      <b val="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808080"/>
    </font>
    <font>
      <name val="Arial"/>
      <b val="1"/>
      <color rgb="00FFFFFF"/>
      <sz val="9"/>
    </font>
    <font>
      <name val="Arial"/>
      <i val="1"/>
      <color rgb="00808080"/>
      <sz val="8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E2761"/>
      </patternFill>
    </fill>
    <fill>
      <patternFill patternType="solid">
        <fgColor rgb="00CADCF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0" borderId="0" pivotButton="0" quotePrefix="0" xfId="0"/>
    <xf numFmtId="0" fontId="0" fillId="7" borderId="1" pivotButton="0" quotePrefix="0" xfId="0"/>
    <xf numFmtId="0" fontId="5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9" fontId="0" fillId="0" borderId="0" pivotButton="0" quotePrefix="0" xfId="0"/>
    <xf numFmtId="164" fontId="0" fillId="0" borderId="0" pivotButton="0" quotePrefix="0" xfId="0"/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9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3" fontId="1" fillId="8" borderId="1" applyAlignment="1" pivotButton="0" quotePrefix="0" xfId="0">
      <alignment horizontal="center" vertical="center"/>
    </xf>
    <xf numFmtId="9" fontId="1" fillId="8" borderId="1" applyAlignment="1" pivotButton="0" quotePrefix="0" xfId="0">
      <alignment horizontal="center" vertical="center"/>
    </xf>
    <xf numFmtId="164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Intake vs Ventas vs Presupuesto (Paneles) por Consultor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KPI'!D6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KPI'!$B$7:$B$11</f>
            </numRef>
          </cat>
          <val>
            <numRef>
              <f>'Datos KPI'!$D$7:$D$11</f>
            </numRef>
          </val>
        </ser>
        <ser>
          <idx val="1"/>
          <order val="1"/>
          <tx>
            <strRef>
              <f>'Datos KPI'!F6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KPI'!$B$7:$B$11</f>
            </numRef>
          </cat>
          <val>
            <numRef>
              <f>'Datos KPI'!$F$7:$F$11</f>
            </numRef>
          </val>
        </ser>
        <ser>
          <idx val="2"/>
          <order val="2"/>
          <tx>
            <strRef>
              <f>'Datos KPI'!H6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KPI'!$B$7:$B$11</f>
            </numRef>
          </cat>
          <val>
            <numRef>
              <f>'Datos KPI'!$H$7:$H$11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Consultor (RSM)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de Presupuesto (Paneles) por Consultor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KPI'!I6</f>
            </strRef>
          </tx>
          <spPr>
            <a:ln xmlns:a="http://schemas.openxmlformats.org/drawingml/2006/main">
              <a:prstDash val="solid"/>
            </a:ln>
          </spPr>
          <dLbls>
            <numFmt formatCode="0%"/>
            <showVal val="1"/>
          </dLbls>
          <cat>
            <numRef>
              <f>'Datos KPI'!$B$7:$B$11</f>
            </numRef>
          </cat>
          <val>
            <numRef>
              <f>'Datos KPI'!$I$7:$I$11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'Datos KPI'!R6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 KPI'!$B$7:$B$11</f>
            </numRef>
          </cat>
          <val>
            <numRef>
              <f>'Datos KPI'!$R$7:$R$11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Consultor (RSM)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Cumplimiento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Participacion en Ventas Total YTD por Zona</a:t>
            </a:r>
          </a:p>
        </rich>
      </tx>
    </title>
    <plotArea>
      <pieChart>
        <varyColors val="1"/>
        <ser>
          <idx val="0"/>
          <order val="0"/>
          <tx>
            <strRef>
              <f>'Datos KPI'!M6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KPI'!$C$7:$C$11</f>
            </numRef>
          </cat>
          <val>
            <numRef>
              <f>'Datos KPI'!$M$7:$M$11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Backlog Actual por Consultor (Paneles + Otros)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'Datos KPI'!J6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KPI'!$B$7:$B$11</f>
            </numRef>
          </cat>
          <val>
            <numRef>
              <f>'Datos KPI'!$J$7:$J$11</f>
            </numRef>
          </val>
        </ser>
        <ser>
          <idx val="1"/>
          <order val="1"/>
          <tx>
            <strRef>
              <f>'Datos KPI'!K6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KPI'!$B$7:$B$11</f>
            </numRef>
          </cat>
          <val>
            <numRef>
              <f>'Datos KPI'!$K$7:$K$11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Consultor (RSM)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Backlog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Book-to-Bill (Order Intake / Ventas) por Consultor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KPI'!O6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'Datos KPI'!$B$7:$B$11</f>
            </numRef>
          </cat>
          <val>
            <numRef>
              <f>'Datos KPI'!$O$7:$O$11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'Datos KPI'!S6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'Datos KPI'!$B$7:$B$11</f>
            </numRef>
          </cat>
          <val>
            <numRef>
              <f>'Datos KPI'!$S$7:$S$11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Consultor (RSM)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Book-to-Bill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26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8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44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26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Plantilla KPI Comercial - Cumplimiento por Canal y Consultor (RSM)</t>
        </is>
      </c>
    </row>
    <row r="4">
      <c r="B4" s="2" t="inlineStr">
        <is>
          <t>Como usar esta plantilla</t>
        </is>
      </c>
    </row>
    <row r="6" ht="30" customHeight="1">
      <c r="B6" s="3" t="inlineStr">
        <is>
          <t>1. Abra la hoja 'Datos KPI' y llene UNICAMENTE las celdas en AMARILLO (texto azul): Consultor (RSM), Zona, Order Intake YTD, Ventas (Sales) YTD, Presupuesto (Budget) YTD Paneles y Backlog actual, para cada canal (Paneles / Otros).</t>
        </is>
      </c>
    </row>
    <row r="8" ht="30" customHeight="1">
      <c r="B8" s="3" t="inlineStr">
        <is>
          <t>2. Las columnas en GRIS (% Cumplimiento, Order Intake Total, Ventas Total, Backlog Total, Book-to-Bill y Estado) se calculan solas con formulas: no las edite a mano.</t>
        </is>
      </c>
    </row>
    <row r="10" ht="30" customHeight="1">
      <c r="B10" s="3" t="inlineStr">
        <is>
          <t>3. Ya se incluyen 5 filas de ejemplo con datos reales de un periodo YTD y 3 filas en blanco listas para agregar nuevos consultores; si necesita mas filas, inserte filas nuevas ARRIBA de la fila 'TOTAL GENERAL' y copie el formato/formulas de la fila anterior.</t>
        </is>
      </c>
    </row>
    <row r="12" ht="30" customHeight="1">
      <c r="B12" s="3" t="inlineStr">
        <is>
          <t>4. La fila 'TOTAL GENERAL' suma automaticamente toda la tabla y calcula el % de cumplimiento y el Book-to-Bill consolidados.</t>
        </is>
      </c>
    </row>
    <row r="14" ht="30" customHeight="1">
      <c r="B14" s="3" t="inlineStr">
        <is>
          <t>5. El 'Estado' de cada consultor se calcula asi sobre el % de cumplimiento de presupuesto (Paneles): CUMPLE &gt;= 100%, EN RIESGO entre 80% y 99%, BAJO &lt; 80%. Los colores (verde/amarillo/rojo) se aplican solos con formato condicional.</t>
        </is>
      </c>
    </row>
    <row r="16" ht="30" customHeight="1">
      <c r="B16" s="3" t="inlineStr">
        <is>
          <t>6. La hoja 'Dashboard' muestra el resumen ejecutivo (tarjetas KPI) y 5 graficos que se actualizan automaticamente al llenar 'Datos KPI': Order Intake vs Ventas vs Presupuesto, % Cumplimiento por consultor (con meta de 100%), participacion de Ventas por Zona, Backlog por consultor y Book-to-Bill (con meta de 1.0x).</t>
        </is>
      </c>
    </row>
    <row r="18" ht="30" customHeight="1">
      <c r="B18" s="3" t="inlineStr">
        <is>
          <t>7. Si agrega consultores en filas nuevas y quiere que aparezcan en los graficos, amplie el rango de datos de cada grafico en la hoja 'Dashboard' (clic derecho sobre el grafico &gt; Seleccionar datos).</t>
        </is>
      </c>
    </row>
    <row r="20" ht="30" customHeight="1">
      <c r="B20" s="3" t="inlineStr">
        <is>
          <t>8. Guarde el archivo con Excel o LibreOffice para que las formulas queden calculadas.</t>
        </is>
      </c>
    </row>
    <row r="23">
      <c r="B23" s="2" t="inlineStr">
        <is>
          <t>Convenciones de color</t>
        </is>
      </c>
    </row>
    <row r="25">
      <c r="B25" s="4" t="n"/>
      <c r="C25" s="5" t="inlineStr">
        <is>
          <t>Celda de entrada: dato que usted debe llenar cada periodo.</t>
        </is>
      </c>
    </row>
    <row r="26">
      <c r="B26" s="6" t="n"/>
      <c r="C26" s="5" t="inlineStr">
        <is>
          <t>Celda calculada: contiene formula, no editar.</t>
        </is>
      </c>
    </row>
    <row r="27">
      <c r="B27" s="7" t="n"/>
      <c r="C27" s="5" t="inlineStr">
        <is>
          <t>Cumple la meta (&gt;= 100% del presupuesto).</t>
        </is>
      </c>
    </row>
    <row r="28">
      <c r="B28" s="8" t="n"/>
      <c r="C28" s="5" t="inlineStr">
        <is>
          <t>En riesgo (entre 80% y 99% del presupuesto).</t>
        </is>
      </c>
    </row>
    <row r="29">
      <c r="B29" s="9" t="n"/>
      <c r="C29" s="5" t="inlineStr">
        <is>
          <t>Bajo cumplimiento (&lt; 80% del presupuesto).</t>
        </is>
      </c>
    </row>
  </sheetData>
  <mergeCells count="15">
    <mergeCell ref="C25:H25"/>
    <mergeCell ref="B8:H8"/>
    <mergeCell ref="B14:H14"/>
    <mergeCell ref="B18:H18"/>
    <mergeCell ref="C28:H28"/>
    <mergeCell ref="C27:H27"/>
    <mergeCell ref="B12:H12"/>
    <mergeCell ref="B6:H6"/>
    <mergeCell ref="B2:H2"/>
    <mergeCell ref="B16:H16"/>
    <mergeCell ref="C29:H29"/>
    <mergeCell ref="B10:H10"/>
    <mergeCell ref="C26:H26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2" customWidth="1" min="9" max="9"/>
    <col width="11" customWidth="1" min="10" max="10"/>
    <col width="11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hidden="1" width="13" customWidth="1" min="18" max="18"/>
    <col hidden="1" width="13" customWidth="1" min="19" max="19"/>
  </cols>
  <sheetData>
    <row r="2">
      <c r="B2" s="1" t="inlineStr">
        <is>
          <t>Cumplimiento y Performance Comercial por Canal y Consultor (RSM)</t>
        </is>
      </c>
    </row>
    <row r="3">
      <c r="B3" s="10" t="inlineStr">
        <is>
          <t>Periodo:</t>
        </is>
      </c>
      <c r="D3" s="11" t="inlineStr">
        <is>
          <t>YTD 2024</t>
        </is>
      </c>
      <c r="E3" s="12" t="n"/>
      <c r="F3" s="13" t="n"/>
    </row>
    <row r="5" ht="24" customHeight="1">
      <c r="B5" s="14" t="inlineStr">
        <is>
          <t>Consultor de Ventas (RSM)</t>
        </is>
      </c>
      <c r="C5" s="14" t="inlineStr">
        <is>
          <t>Zona</t>
        </is>
      </c>
      <c r="D5" s="14" t="inlineStr">
        <is>
          <t>Order Intake YTD</t>
        </is>
      </c>
      <c r="E5" s="15" t="n"/>
      <c r="F5" s="14" t="inlineStr">
        <is>
          <t>Ventas (Sales) YTD</t>
        </is>
      </c>
      <c r="G5" s="15" t="n"/>
      <c r="H5" s="14" t="inlineStr">
        <is>
          <t>Presupuesto (Budget) YTD (Paneles)</t>
        </is>
      </c>
      <c r="I5" s="14" t="inlineStr">
        <is>
          <t>% Cumplimiento Presupuesto (Paneles)</t>
        </is>
      </c>
      <c r="J5" s="14" t="inlineStr">
        <is>
          <t>Backlog Actual</t>
        </is>
      </c>
      <c r="K5" s="15" t="n"/>
      <c r="L5" s="14" t="inlineStr">
        <is>
          <t>Order Intake Total</t>
        </is>
      </c>
      <c r="M5" s="14" t="inlineStr">
        <is>
          <t>Ventas Total</t>
        </is>
      </c>
      <c r="N5" s="14" t="inlineStr">
        <is>
          <t>Backlog Total</t>
        </is>
      </c>
      <c r="O5" s="14" t="inlineStr">
        <is>
          <t>Book-to-Bill
(Order Intake / Ventas)</t>
        </is>
      </c>
      <c r="P5" s="14" t="inlineStr">
        <is>
          <t>Estado</t>
        </is>
      </c>
      <c r="R5" s="16" t="inlineStr">
        <is>
          <t>Ref. graficos (no editar)</t>
        </is>
      </c>
    </row>
    <row r="6" ht="26" customHeight="1">
      <c r="B6" s="17" t="n"/>
      <c r="C6" s="17" t="n"/>
      <c r="D6" s="14" t="inlineStr">
        <is>
          <t>Paneles</t>
        </is>
      </c>
      <c r="E6" s="14" t="inlineStr">
        <is>
          <t>Otros</t>
        </is>
      </c>
      <c r="F6" s="14" t="inlineStr">
        <is>
          <t>Paneles</t>
        </is>
      </c>
      <c r="G6" s="14" t="inlineStr">
        <is>
          <t>Otros</t>
        </is>
      </c>
      <c r="H6" s="17" t="n"/>
      <c r="I6" s="17" t="n"/>
      <c r="J6" s="14" t="inlineStr">
        <is>
          <t>Paneles</t>
        </is>
      </c>
      <c r="K6" s="14" t="inlineStr">
        <is>
          <t>Otros</t>
        </is>
      </c>
      <c r="L6" s="17" t="n"/>
      <c r="M6" s="17" t="n"/>
      <c r="N6" s="17" t="n"/>
      <c r="O6" s="17" t="n"/>
      <c r="P6" s="17" t="n"/>
      <c r="R6" t="inlineStr">
        <is>
          <t>Meta 100%</t>
        </is>
      </c>
      <c r="S6" t="inlineStr">
        <is>
          <t>Meta 1.0x</t>
        </is>
      </c>
    </row>
    <row r="7">
      <c r="B7" s="18" t="inlineStr">
        <is>
          <t>LOZANO TENORIO MARIA CAROLINA</t>
        </is>
      </c>
      <c r="C7" s="19" t="inlineStr">
        <is>
          <t>FRIO</t>
        </is>
      </c>
      <c r="D7" s="20" t="n">
        <v>31115</v>
      </c>
      <c r="E7" s="20" t="n">
        <v>13253</v>
      </c>
      <c r="F7" s="20" t="n">
        <v>50135</v>
      </c>
      <c r="G7" s="20" t="n">
        <v>24389</v>
      </c>
      <c r="H7" s="20" t="n">
        <v>50000</v>
      </c>
      <c r="I7" s="21">
        <f>IFERROR(F7/H7,0)</f>
        <v/>
      </c>
      <c r="J7" s="20" t="n">
        <v>2360</v>
      </c>
      <c r="K7" s="20" t="n">
        <v>3815</v>
      </c>
      <c r="L7" s="22">
        <f>D7+E7</f>
        <v/>
      </c>
      <c r="M7" s="22">
        <f>F7+G7</f>
        <v/>
      </c>
      <c r="N7" s="22">
        <f>J7+K7</f>
        <v/>
      </c>
      <c r="O7" s="23">
        <f>IFERROR(L7/M7,0)</f>
        <v/>
      </c>
      <c r="P7" s="24">
        <f>IF(B7="","",IF(I7&gt;=1,"CUMPLE",IF(I7&gt;=0.8,"EN RIESGO","BAJO")))</f>
        <v/>
      </c>
      <c r="R7" s="25" t="n">
        <v>1</v>
      </c>
      <c r="S7" s="26" t="n">
        <v>1</v>
      </c>
    </row>
    <row r="8">
      <c r="B8" s="18" t="inlineStr">
        <is>
          <t>URIBE JIMENEZ SANDRA MILENA</t>
        </is>
      </c>
      <c r="C8" s="19" t="inlineStr">
        <is>
          <t>OCCIDENTE</t>
        </is>
      </c>
      <c r="D8" s="20" t="n">
        <v>40564</v>
      </c>
      <c r="E8" s="20" t="n">
        <v>4875</v>
      </c>
      <c r="F8" s="20" t="n">
        <v>26224</v>
      </c>
      <c r="G8" s="20" t="n">
        <v>4800</v>
      </c>
      <c r="H8" s="20" t="n">
        <v>33000</v>
      </c>
      <c r="I8" s="21">
        <f>IFERROR(F8/H8,0)</f>
        <v/>
      </c>
      <c r="J8" s="20" t="n">
        <v>20570</v>
      </c>
      <c r="K8" s="20" t="n">
        <v>687</v>
      </c>
      <c r="L8" s="22">
        <f>D8+E8</f>
        <v/>
      </c>
      <c r="M8" s="22">
        <f>F8+G8</f>
        <v/>
      </c>
      <c r="N8" s="22">
        <f>J8+K8</f>
        <v/>
      </c>
      <c r="O8" s="23">
        <f>IFERROR(L8/M8,0)</f>
        <v/>
      </c>
      <c r="P8" s="24">
        <f>IF(B8="","",IF(I8&gt;=1,"CUMPLE",IF(I8&gt;=0.8,"EN RIESGO","BAJO")))</f>
        <v/>
      </c>
      <c r="R8" s="25" t="n">
        <v>1</v>
      </c>
      <c r="S8" s="26" t="n">
        <v>1</v>
      </c>
    </row>
    <row r="9">
      <c r="B9" s="18" t="inlineStr">
        <is>
          <t>GUERRERO ESPINOSA JULIO CESAR</t>
        </is>
      </c>
      <c r="C9" s="19" t="inlineStr">
        <is>
          <t>CENTRO</t>
        </is>
      </c>
      <c r="D9" s="20" t="n">
        <v>14375</v>
      </c>
      <c r="E9" s="20" t="n">
        <v>1427</v>
      </c>
      <c r="F9" s="20" t="n">
        <v>10524</v>
      </c>
      <c r="G9" s="20" t="n">
        <v>420</v>
      </c>
      <c r="H9" s="20" t="n">
        <v>17000</v>
      </c>
      <c r="I9" s="21">
        <f>IFERROR(F9/H9,0)</f>
        <v/>
      </c>
      <c r="J9" s="20" t="n">
        <v>5233</v>
      </c>
      <c r="K9" s="20" t="n">
        <v>487</v>
      </c>
      <c r="L9" s="22">
        <f>D9+E9</f>
        <v/>
      </c>
      <c r="M9" s="22">
        <f>F9+G9</f>
        <v/>
      </c>
      <c r="N9" s="22">
        <f>J9+K9</f>
        <v/>
      </c>
      <c r="O9" s="23">
        <f>IFERROR(L9/M9,0)</f>
        <v/>
      </c>
      <c r="P9" s="24">
        <f>IF(B9="","",IF(I9&gt;=1,"CUMPLE",IF(I9&gt;=0.8,"EN RIESGO","BAJO")))</f>
        <v/>
      </c>
      <c r="R9" s="25" t="n">
        <v>1</v>
      </c>
      <c r="S9" s="26" t="n">
        <v>1</v>
      </c>
    </row>
    <row r="10">
      <c r="B10" s="18" t="inlineStr">
        <is>
          <t>RUGE PEREZ DANIEL FELIPE</t>
        </is>
      </c>
      <c r="C10" s="19" t="inlineStr">
        <is>
          <t>NORTE</t>
        </is>
      </c>
      <c r="D10" s="20" t="n">
        <v>9896</v>
      </c>
      <c r="E10" s="20" t="n">
        <v>18701</v>
      </c>
      <c r="F10" s="20" t="n">
        <v>6761</v>
      </c>
      <c r="G10" s="20" t="n">
        <v>20094</v>
      </c>
      <c r="H10" s="20" t="n">
        <v>12000</v>
      </c>
      <c r="I10" s="21">
        <f>IFERROR(F10/H10,0)</f>
        <v/>
      </c>
      <c r="J10" s="20" t="n">
        <v>3030</v>
      </c>
      <c r="K10" s="20" t="n">
        <v>90</v>
      </c>
      <c r="L10" s="22">
        <f>D10+E10</f>
        <v/>
      </c>
      <c r="M10" s="22">
        <f>F10+G10</f>
        <v/>
      </c>
      <c r="N10" s="22">
        <f>J10+K10</f>
        <v/>
      </c>
      <c r="O10" s="23">
        <f>IFERROR(L10/M10,0)</f>
        <v/>
      </c>
      <c r="P10" s="24">
        <f>IF(B10="","",IF(I10&gt;=1,"CUMPLE",IF(I10&gt;=0.8,"EN RIESGO","BAJO")))</f>
        <v/>
      </c>
      <c r="R10" s="25" t="n">
        <v>1</v>
      </c>
      <c r="S10" s="26" t="n">
        <v>1</v>
      </c>
    </row>
    <row r="11">
      <c r="B11" s="18" t="inlineStr">
        <is>
          <t>CALDERON CHANTRE DIEGO ALFONSO</t>
        </is>
      </c>
      <c r="C11" s="19" t="inlineStr">
        <is>
          <t>SUR</t>
        </is>
      </c>
      <c r="D11" s="20" t="n">
        <v>25951</v>
      </c>
      <c r="E11" s="20" t="n">
        <v>12665</v>
      </c>
      <c r="F11" s="20" t="n">
        <v>8664</v>
      </c>
      <c r="G11" s="20" t="n">
        <v>7747</v>
      </c>
      <c r="H11" s="20" t="n">
        <v>15000</v>
      </c>
      <c r="I11" s="21">
        <f>IFERROR(F11/H11,0)</f>
        <v/>
      </c>
      <c r="J11" s="20" t="n">
        <v>17174</v>
      </c>
      <c r="K11" s="20" t="n">
        <v>5445</v>
      </c>
      <c r="L11" s="22">
        <f>D11+E11</f>
        <v/>
      </c>
      <c r="M11" s="22">
        <f>F11+G11</f>
        <v/>
      </c>
      <c r="N11" s="22">
        <f>J11+K11</f>
        <v/>
      </c>
      <c r="O11" s="23">
        <f>IFERROR(L11/M11,0)</f>
        <v/>
      </c>
      <c r="P11" s="24">
        <f>IF(B11="","",IF(I11&gt;=1,"CUMPLE",IF(I11&gt;=0.8,"EN RIESGO","BAJO")))</f>
        <v/>
      </c>
      <c r="R11" s="25" t="n">
        <v>1</v>
      </c>
      <c r="S11" s="26" t="n">
        <v>1</v>
      </c>
    </row>
    <row r="12">
      <c r="B12" s="18" t="n"/>
      <c r="C12" s="19" t="n"/>
      <c r="D12" s="20" t="n"/>
      <c r="E12" s="20" t="n"/>
      <c r="F12" s="20" t="n"/>
      <c r="G12" s="20" t="n"/>
      <c r="H12" s="20" t="n"/>
      <c r="I12" s="21">
        <f>IFERROR(F12/H12,0)</f>
        <v/>
      </c>
      <c r="J12" s="20" t="n"/>
      <c r="K12" s="20" t="n"/>
      <c r="L12" s="22">
        <f>D12+E12</f>
        <v/>
      </c>
      <c r="M12" s="22">
        <f>F12+G12</f>
        <v/>
      </c>
      <c r="N12" s="22">
        <f>J12+K12</f>
        <v/>
      </c>
      <c r="O12" s="23">
        <f>IFERROR(L12/M12,0)</f>
        <v/>
      </c>
      <c r="P12" s="24">
        <f>IF(B12="","",IF(I12&gt;=1,"CUMPLE",IF(I12&gt;=0.8,"EN RIESGO","BAJO")))</f>
        <v/>
      </c>
    </row>
    <row r="13">
      <c r="B13" s="18" t="n"/>
      <c r="C13" s="19" t="n"/>
      <c r="D13" s="20" t="n"/>
      <c r="E13" s="20" t="n"/>
      <c r="F13" s="20" t="n"/>
      <c r="G13" s="20" t="n"/>
      <c r="H13" s="20" t="n"/>
      <c r="I13" s="21">
        <f>IFERROR(F13/H13,0)</f>
        <v/>
      </c>
      <c r="J13" s="20" t="n"/>
      <c r="K13" s="20" t="n"/>
      <c r="L13" s="22">
        <f>D13+E13</f>
        <v/>
      </c>
      <c r="M13" s="22">
        <f>F13+G13</f>
        <v/>
      </c>
      <c r="N13" s="22">
        <f>J13+K13</f>
        <v/>
      </c>
      <c r="O13" s="23">
        <f>IFERROR(L13/M13,0)</f>
        <v/>
      </c>
      <c r="P13" s="24">
        <f>IF(B13="","",IF(I13&gt;=1,"CUMPLE",IF(I13&gt;=0.8,"EN RIESGO","BAJO")))</f>
        <v/>
      </c>
    </row>
    <row r="14">
      <c r="B14" s="18" t="n"/>
      <c r="C14" s="19" t="n"/>
      <c r="D14" s="20" t="n"/>
      <c r="E14" s="20" t="n"/>
      <c r="F14" s="20" t="n"/>
      <c r="G14" s="20" t="n"/>
      <c r="H14" s="20" t="n"/>
      <c r="I14" s="21">
        <f>IFERROR(F14/H14,0)</f>
        <v/>
      </c>
      <c r="J14" s="20" t="n"/>
      <c r="K14" s="20" t="n"/>
      <c r="L14" s="22">
        <f>D14+E14</f>
        <v/>
      </c>
      <c r="M14" s="22">
        <f>F14+G14</f>
        <v/>
      </c>
      <c r="N14" s="22">
        <f>J14+K14</f>
        <v/>
      </c>
      <c r="O14" s="23">
        <f>IFERROR(L14/M14,0)</f>
        <v/>
      </c>
      <c r="P14" s="24">
        <f>IF(B14="","",IF(I14&gt;=1,"CUMPLE",IF(I14&gt;=0.8,"EN RIESGO","BAJO")))</f>
        <v/>
      </c>
    </row>
    <row r="15">
      <c r="B15" s="27" t="inlineStr">
        <is>
          <t>TOTAL GENERAL</t>
        </is>
      </c>
      <c r="C15" s="27" t="n"/>
      <c r="D15" s="28">
        <f>SUM(D7:D14)</f>
        <v/>
      </c>
      <c r="E15" s="28">
        <f>SUM(E7:E14)</f>
        <v/>
      </c>
      <c r="F15" s="28">
        <f>SUM(F7:F14)</f>
        <v/>
      </c>
      <c r="G15" s="28">
        <f>SUM(G7:G14)</f>
        <v/>
      </c>
      <c r="H15" s="28">
        <f>SUM(H7:H14)</f>
        <v/>
      </c>
      <c r="I15" s="29">
        <f>IFERROR(F15/H15,0)</f>
        <v/>
      </c>
      <c r="J15" s="28">
        <f>SUM(J7:J14)</f>
        <v/>
      </c>
      <c r="K15" s="28">
        <f>SUM(K7:K14)</f>
        <v/>
      </c>
      <c r="L15" s="28">
        <f>SUM(L7:L14)</f>
        <v/>
      </c>
      <c r="M15" s="28">
        <f>SUM(M7:M14)</f>
        <v/>
      </c>
      <c r="N15" s="28">
        <f>SUM(N7:N14)</f>
        <v/>
      </c>
      <c r="O15" s="30">
        <f>IFERROR(L15/M15,0)</f>
        <v/>
      </c>
      <c r="P15" s="27" t="n"/>
    </row>
  </sheetData>
  <mergeCells count="15">
    <mergeCell ref="O5:O6"/>
    <mergeCell ref="N5:N6"/>
    <mergeCell ref="P5:P6"/>
    <mergeCell ref="H5:H6"/>
    <mergeCell ref="B2:P2"/>
    <mergeCell ref="B15:C15"/>
    <mergeCell ref="J5:K5"/>
    <mergeCell ref="L5:L6"/>
    <mergeCell ref="F5:G5"/>
    <mergeCell ref="D5:E5"/>
    <mergeCell ref="D3:F3"/>
    <mergeCell ref="M5:M6"/>
    <mergeCell ref="B5:B6"/>
    <mergeCell ref="I5:I6"/>
    <mergeCell ref="C5:C6"/>
  </mergeCells>
  <conditionalFormatting sqref="I7:I15">
    <cfRule type="expression" priority="1" dxfId="0">
      <formula>$I7&gt;=1</formula>
    </cfRule>
    <cfRule type="expression" priority="2" dxfId="1">
      <formula>AND($I7&gt;=0.8,$I7&lt;1)</formula>
    </cfRule>
    <cfRule type="expression" priority="3" dxfId="2">
      <formula>$I7&lt;0.8</formula>
    </cfRule>
  </conditionalFormatting>
  <conditionalFormatting sqref="P7:P15">
    <cfRule type="expression" priority="4" dxfId="0">
      <formula>$I7&gt;=1</formula>
    </cfRule>
    <cfRule type="expression" priority="5" dxfId="1">
      <formula>AND($I7&gt;=0.8,$I7&lt;1)</formula>
    </cfRule>
    <cfRule type="expression" priority="6" dxfId="2">
      <formula>$I7&lt;0.8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>
      <c r="B2" s="1" t="inlineStr">
        <is>
          <t>Dashboard KPI Comercial - Cumplimiento y Performance</t>
        </is>
      </c>
    </row>
    <row r="3">
      <c r="B3" s="31">
        <f>'Datos KPI'!D3</f>
        <v/>
      </c>
    </row>
    <row r="5" ht="20" customHeight="1">
      <c r="B5" s="32" t="inlineStr">
        <is>
          <t>Ventas Total YTD</t>
        </is>
      </c>
      <c r="C5" s="13" t="n"/>
      <c r="D5" s="32" t="inlineStr">
        <is>
          <t>Presupuesto Total (Paneles)</t>
        </is>
      </c>
      <c r="E5" s="13" t="n"/>
      <c r="F5" s="32" t="inlineStr">
        <is>
          <t>% Cumplimiento Global</t>
        </is>
      </c>
      <c r="G5" s="13" t="n"/>
      <c r="H5" s="32" t="inlineStr">
        <is>
          <t>Backlog Total</t>
        </is>
      </c>
      <c r="I5" s="13" t="n"/>
      <c r="J5" s="32" t="inlineStr">
        <is>
          <t>Book-to-Bill Global</t>
        </is>
      </c>
      <c r="K5" s="13" t="n"/>
    </row>
    <row r="6" ht="28" customHeight="1">
      <c r="B6" s="33">
        <f>'Datos KPI'!M15</f>
        <v/>
      </c>
      <c r="C6" s="13" t="n"/>
      <c r="D6" s="33">
        <f>'Datos KPI'!H15</f>
        <v/>
      </c>
      <c r="E6" s="13" t="n"/>
      <c r="F6" s="34">
        <f>'Datos KPI'!I15</f>
        <v/>
      </c>
      <c r="G6" s="13" t="n"/>
      <c r="H6" s="33">
        <f>'Datos KPI'!N15</f>
        <v/>
      </c>
      <c r="I6" s="13" t="n"/>
      <c r="J6" s="35">
        <f>'Datos KPI'!O15</f>
        <v/>
      </c>
      <c r="K6" s="13" t="n"/>
    </row>
  </sheetData>
  <mergeCells count="12">
    <mergeCell ref="D6:E6"/>
    <mergeCell ref="B6:C6"/>
    <mergeCell ref="B2:M2"/>
    <mergeCell ref="H6:I6"/>
    <mergeCell ref="B3:M3"/>
    <mergeCell ref="J5:K5"/>
    <mergeCell ref="J6:K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2026-09-16T00:13:21Z</dcterms:created>
  <dcterms:modified xmlns:dcterms="http://purl.org/dc/terms/" xmlns:xsi="http://www.w3.org/2001/XMLSchema-instance" xsi:type="dcterms:W3CDTF">2026-09-16T00:13:21Z</dcterms:modified>
</cp:coreProperties>
</file>