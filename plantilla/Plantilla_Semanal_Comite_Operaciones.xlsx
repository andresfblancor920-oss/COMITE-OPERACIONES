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ortada" sheetId="2" state="visible" r:id="rId4"/>
    <sheet name="Resumen Ejecutivo" sheetId="3" state="visible" r:id="rId5"/>
    <sheet name="KPIs" sheetId="4" state="visible" r:id="rId6"/>
    <sheet name="Proyectos" sheetId="5" state="visible" r:id="rId7"/>
    <sheet name="Incidentes" sheetId="6" state="visible" r:id="rId8"/>
    <sheet name="Riesgos" sheetId="7" state="visible" r:id="rId9"/>
    <sheet name="Plan de Accion" sheetId="8" state="visible" r:id="rId10"/>
    <sheet name="Proximos Paso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<sst xmlns="http://schemas.openxmlformats.org/spreadsheetml/2006/main" count="141" uniqueCount="116">
  <si>
    <t xml:space="preserve">Plantilla Semanal - Comite de Operaciones</t>
  </si>
  <si>
    <t xml:space="preserve">Como usar esta plantilla</t>
  </si>
  <si>
    <t xml:space="preserve">1. Cada semana, antes del comite, actualice las hojas: Portada, Resumen Ejecutivo, KPIs, Proyectos, Incidentes, Riesgos, Plan de Accion y Proximos Pasos.</t>
  </si>
  <si>
    <t xml:space="preserve">2. Llene UNICAMENTE las celdas resaltadas en amarillo. Las demas columnas tienen formulas y se calculan solas (variaciones, % de cumplimiento, nivel de riesgo, etc.).</t>
  </si>
  <si>
    <t xml:space="preserve">3. No cambie los encabezados ni el orden de las columnas: el generador de PowerPoint los identifica por nombre y posicion.</t>
  </si>
  <si>
    <t xml:space="preserve">4. Puede agregar filas nuevas dentro de cada tabla (debajo del ejemplo); deje una fila en blanco despues de la ultima fila con datos para que el script sepa donde parar.</t>
  </si>
  <si>
    <t xml:space="preserve">5. Guarde el archivo (mismo nombre) y ejecute:</t>
  </si>
  <si>
    <t xml:space="preserve">        python scripts/generar_ppt_comite.py plantilla/Plantilla_Semanal_Comite_Operaciones.xlsx</t>
  </si>
  <si>
    <t xml:space="preserve">6. El script genera automaticamente un archivo .pptx nuevo, con fecha, listo para presentar (ver README.md para el detalle tecnico).</t>
  </si>
  <si>
    <t xml:space="preserve">7. Las filas de ejemplo (en gris/italica) son solo guia de formato; reemplacelas o bórrelas y use sus propios datos.</t>
  </si>
  <si>
    <t xml:space="preserve">Datos generales de la sesion</t>
  </si>
  <si>
    <t xml:space="preserve">Comite / Area</t>
  </si>
  <si>
    <t xml:space="preserve">Comite de Operaciones</t>
  </si>
  <si>
    <t xml:space="preserve">Semana (inicio)</t>
  </si>
  <si>
    <t xml:space="preserve">Semana (fin)</t>
  </si>
  <si>
    <t xml:space="preserve">Fecha de presentacion</t>
  </si>
  <si>
    <t xml:space="preserve">Responsable de la presentacion</t>
  </si>
  <si>
    <t xml:space="preserve">Nombre Apellido</t>
  </si>
  <si>
    <t xml:space="preserve">Estado general de la semana (Verde/Amarillo/Rojo)</t>
  </si>
  <si>
    <t xml:space="preserve">Amarillo</t>
  </si>
  <si>
    <t xml:space="preserve">Resumen ejecutivo de la semana</t>
  </si>
  <si>
    <t xml:space="preserve">Logros / avances destacados (uno por fila)</t>
  </si>
  <si>
    <t xml:space="preserve">Disponibilidad de plataforma se mantuvo en 99.6%, por encima de la meta.</t>
  </si>
  <si>
    <t xml:space="preserve">Se cerro el incidente critico INC-014 dentro del SLA.</t>
  </si>
  <si>
    <t xml:space="preserve">Proyecto Migracion ERP alcanzo 65% de avance, en linea con el plan.</t>
  </si>
  <si>
    <t xml:space="preserve">Puntos de atencion / riesgos a escalar (uno por fila)</t>
  </si>
  <si>
    <t xml:space="preserve">Retraso de 2 semanas en entrega de proveedor para el proyecto de Datacenter.</t>
  </si>
  <si>
    <t xml:space="preserve">Incremento de 15% en tickets de soporte nivel 2 respecto a la semana anterior.</t>
  </si>
  <si>
    <t xml:space="preserve">Indicadores operacionales (KPIs)</t>
  </si>
  <si>
    <t xml:space="preserve">Indicador</t>
  </si>
  <si>
    <t xml:space="preserve">Unidad</t>
  </si>
  <si>
    <t xml:space="preserve">Meta</t>
  </si>
  <si>
    <t xml:space="preserve">Sentido</t>
  </si>
  <si>
    <t xml:space="preserve">Semana Anterior</t>
  </si>
  <si>
    <t xml:space="preserve">Semana Actual</t>
  </si>
  <si>
    <t xml:space="preserve">Variacion</t>
  </si>
  <si>
    <t xml:space="preserve">% Cumplimiento Meta</t>
  </si>
  <si>
    <t xml:space="preserve">Estado</t>
  </si>
  <si>
    <t xml:space="preserve">Disponibilidad de servicio</t>
  </si>
  <si>
    <t xml:space="preserve">%</t>
  </si>
  <si>
    <t xml:space="preserve">Mayor es mejor</t>
  </si>
  <si>
    <t xml:space="preserve">SLA cumplido (tickets)</t>
  </si>
  <si>
    <t xml:space="preserve">Tiempo promedio de resolucion (MTTR)</t>
  </si>
  <si>
    <t xml:space="preserve">horas</t>
  </si>
  <si>
    <t xml:space="preserve">Menor es mejor</t>
  </si>
  <si>
    <t xml:space="preserve">Tickets abiertos</t>
  </si>
  <si>
    <t xml:space="preserve">#</t>
  </si>
  <si>
    <t xml:space="preserve">Satisfaccion del cliente (CSAT)</t>
  </si>
  <si>
    <t xml:space="preserve">Cumplimiento de presupuesto operativo</t>
  </si>
  <si>
    <t xml:space="preserve">Avance de proyectos e iniciativas</t>
  </si>
  <si>
    <t xml:space="preserve">Proyecto</t>
  </si>
  <si>
    <t xml:space="preserve">Responsable</t>
  </si>
  <si>
    <t xml:space="preserve">% Avance</t>
  </si>
  <si>
    <t xml:space="preserve">Estado (RAG)</t>
  </si>
  <si>
    <t xml:space="preserve">Proximo hito</t>
  </si>
  <si>
    <t xml:space="preserve">Fecha hito</t>
  </si>
  <si>
    <t xml:space="preserve">Comentario</t>
  </si>
  <si>
    <t xml:space="preserve">Migracion ERP</t>
  </si>
  <si>
    <t xml:space="preserve">Maria Gomez</t>
  </si>
  <si>
    <t xml:space="preserve">Pruebas de integracion</t>
  </si>
  <si>
    <t xml:space="preserve">Requiere soporte adicional de TI.</t>
  </si>
  <si>
    <t xml:space="preserve">Renovacion Datacenter</t>
  </si>
  <si>
    <t xml:space="preserve">Carlos Ruiz</t>
  </si>
  <si>
    <t xml:space="preserve">Rojo</t>
  </si>
  <si>
    <t xml:space="preserve">Entrega de equipos</t>
  </si>
  <si>
    <t xml:space="preserve">Proveedor con retraso de 2 semanas.</t>
  </si>
  <si>
    <t xml:space="preserve">Automatizacion de reportes</t>
  </si>
  <si>
    <t xml:space="preserve">Ana Torres</t>
  </si>
  <si>
    <t xml:space="preserve">Verde</t>
  </si>
  <si>
    <t xml:space="preserve">Puesta en produccion</t>
  </si>
  <si>
    <t xml:space="preserve">Sin novedades.</t>
  </si>
  <si>
    <t xml:space="preserve">Incidentes y problemas de la semana</t>
  </si>
  <si>
    <t xml:space="preserve">ID</t>
  </si>
  <si>
    <t xml:space="preserve">Fecha</t>
  </si>
  <si>
    <t xml:space="preserve">Descripcion</t>
  </si>
  <si>
    <t xml:space="preserve">Severidad</t>
  </si>
  <si>
    <t xml:space="preserve">Causa raiz</t>
  </si>
  <si>
    <t xml:space="preserve">Accion correctiva</t>
  </si>
  <si>
    <t xml:space="preserve">INC-014</t>
  </si>
  <si>
    <t xml:space="preserve">Caida intermitente del portal de clientes</t>
  </si>
  <si>
    <t xml:space="preserve">Alta</t>
  </si>
  <si>
    <t xml:space="preserve">Cerrado</t>
  </si>
  <si>
    <t xml:space="preserve">Equipo Infraestructura</t>
  </si>
  <si>
    <t xml:space="preserve">Saturacion de memoria en balanceador</t>
  </si>
  <si>
    <t xml:space="preserve">Se aumento capacidad y se agrego alerta temprana</t>
  </si>
  <si>
    <t xml:space="preserve">INC-015</t>
  </si>
  <si>
    <t xml:space="preserve">Retraso en procesamiento de pagos</t>
  </si>
  <si>
    <t xml:space="preserve">Media</t>
  </si>
  <si>
    <t xml:space="preserve">En seguimiento</t>
  </si>
  <si>
    <t xml:space="preserve">Equipo Pagos</t>
  </si>
  <si>
    <t xml:space="preserve">Error en job nocturno</t>
  </si>
  <si>
    <t xml:space="preserve">Ajuste de job y monitoreo reforzado</t>
  </si>
  <si>
    <t xml:space="preserve">Matriz de riesgos operacionales</t>
  </si>
  <si>
    <t xml:space="preserve">Riesgo</t>
  </si>
  <si>
    <t xml:space="preserve">Probabilidad</t>
  </si>
  <si>
    <t xml:space="preserve">Impacto</t>
  </si>
  <si>
    <t xml:space="preserve">Nivel de riesgo</t>
  </si>
  <si>
    <t xml:space="preserve">Plan de mitigacion</t>
  </si>
  <si>
    <t xml:space="preserve">Escala</t>
  </si>
  <si>
    <t xml:space="preserve">Falla de proveedor critico de infraestructura</t>
  </si>
  <si>
    <t xml:space="preserve">Definir acciones de mitigacion y responsable</t>
  </si>
  <si>
    <t xml:space="preserve">Nombre</t>
  </si>
  <si>
    <t xml:space="preserve">Baja</t>
  </si>
  <si>
    <t xml:space="preserve">Rotacion de personal clave en soporte</t>
  </si>
  <si>
    <t xml:space="preserve">Compromisos y plan de accion</t>
  </si>
  <si>
    <t xml:space="preserve">Accion</t>
  </si>
  <si>
    <t xml:space="preserve">Fecha compromiso</t>
  </si>
  <si>
    <t xml:space="preserve">Prioridad</t>
  </si>
  <si>
    <t xml:space="preserve">Escalar con proveedor plan de recuperacion de cronograma</t>
  </si>
  <si>
    <t xml:space="preserve">En curso</t>
  </si>
  <si>
    <t xml:space="preserve">Reforzar turno de soporte nivel 2 los fines de semana</t>
  </si>
  <si>
    <t xml:space="preserve">Pendiente</t>
  </si>
  <si>
    <t xml:space="preserve">Agenda / proximos pasos para la siguiente semana</t>
  </si>
  <si>
    <t xml:space="preserve">Revisar avance del plan de recuperacion con el proveedor de Datacenter.</t>
  </si>
  <si>
    <t xml:space="preserve">Presentar resultados de la automatizacion de reportes al comite.</t>
  </si>
  <si>
    <t xml:space="preserve">Actualizar matriz de riesgos con nuevos hallazgos de auditoria.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</si>
</sst>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General"/>
    <numFmt numFmtId="167" formatCode="0.0%"/>
    <numFmt numFmtId="168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2761"/>
      <name val="Arial"/>
      <family val="0"/>
      <charset val="1"/>
    </font>
    <font>
      <b val="true"/>
      <sz val="13"/>
      <color rgb="FF1E2761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E2761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8" min="2" style="0" width="14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4" customFormat="false" ht="16.15" hidden="false" customHeight="false" outlineLevel="0" collapsed="false">
      <c r="B4" s="2" t="s">
        <v>1</v>
      </c>
    </row>
    <row r="6" customFormat="false" ht="30" hidden="false" customHeight="true" outlineLevel="0" collapsed="false">
      <c r="B6" s="3" t="s">
        <v>2</v>
      </c>
      <c r="C6" s="3"/>
      <c r="D6" s="3"/>
      <c r="E6" s="3"/>
      <c r="F6" s="3"/>
      <c r="G6" s="3"/>
      <c r="H6" s="3"/>
    </row>
    <row r="8" customFormat="false" ht="30" hidden="false" customHeight="true" outlineLevel="0" collapsed="false">
      <c r="B8" s="3" t="s">
        <v>3</v>
      </c>
      <c r="C8" s="3"/>
      <c r="D8" s="3"/>
      <c r="E8" s="3"/>
      <c r="F8" s="3"/>
      <c r="G8" s="3"/>
      <c r="H8" s="3"/>
    </row>
    <row r="10" customFormat="false" ht="30" hidden="false" customHeight="true" outlineLevel="0" collapsed="false">
      <c r="B10" s="3" t="s">
        <v>4</v>
      </c>
      <c r="C10" s="3"/>
      <c r="D10" s="3"/>
      <c r="E10" s="3"/>
      <c r="F10" s="3"/>
      <c r="G10" s="3"/>
      <c r="H10" s="3"/>
    </row>
    <row r="12" customFormat="false" ht="30" hidden="false" customHeight="true" outlineLevel="0" collapsed="false">
      <c r="B12" s="3" t="s">
        <v>5</v>
      </c>
      <c r="C12" s="3"/>
      <c r="D12" s="3"/>
      <c r="E12" s="3"/>
      <c r="F12" s="3"/>
      <c r="G12" s="3"/>
      <c r="H12" s="3"/>
    </row>
    <row r="14" customFormat="false" ht="30" hidden="false" customHeight="true" outlineLevel="0" collapsed="false">
      <c r="B14" s="3" t="s">
        <v>6</v>
      </c>
      <c r="C14" s="3"/>
      <c r="D14" s="3"/>
      <c r="E14" s="3"/>
      <c r="F14" s="3"/>
      <c r="G14" s="3"/>
      <c r="H14" s="3"/>
    </row>
    <row r="16" customFormat="false" ht="30" hidden="false" customHeight="true" outlineLevel="0" collapsed="false">
      <c r="B16" s="3" t="s">
        <v>7</v>
      </c>
      <c r="C16" s="3"/>
      <c r="D16" s="3"/>
      <c r="E16" s="3"/>
      <c r="F16" s="3"/>
      <c r="G16" s="3"/>
      <c r="H16" s="3"/>
    </row>
    <row r="18" customFormat="false" ht="30" hidden="false" customHeight="true" outlineLevel="0" collapsed="false">
      <c r="B18" s="3" t="s">
        <v>8</v>
      </c>
      <c r="C18" s="3"/>
      <c r="D18" s="3"/>
      <c r="E18" s="3"/>
      <c r="F18" s="3"/>
      <c r="G18" s="3"/>
      <c r="H18" s="3"/>
    </row>
    <row r="20" customFormat="false" ht="30" hidden="false" customHeight="true" outlineLevel="0" collapsed="false">
      <c r="B20" s="3" t="s">
        <v>9</v>
      </c>
      <c r="C20" s="3"/>
      <c r="D20" s="3"/>
      <c r="E20" s="3"/>
      <c r="F20" s="3"/>
      <c r="G20" s="3"/>
      <c r="H20" s="3"/>
    </row>
  </sheetData>
  <mergeCells count="9">
    <mergeCell ref="B2:H2"/>
    <mergeCell ref="B6:H6"/>
    <mergeCell ref="B8:H8"/>
    <mergeCell ref="B10:H10"/>
    <mergeCell ref="B12:H12"/>
    <mergeCell ref="B14:H14"/>
    <mergeCell ref="B16:H16"/>
    <mergeCell ref="B18:H18"/>
    <mergeCell ref="B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3"/>
    <col collapsed="false" customWidth="true" hidden="false" outlineLevel="0" max="4" min="4" style="0" width="30"/>
  </cols>
  <sheetData>
    <row r="2" customFormat="false" ht="19.7" hidden="false" customHeight="false" outlineLevel="0" collapsed="false">
      <c r="B2" s="1" t="s">
        <v>10</v>
      </c>
      <c r="C2" s="1"/>
      <c r="D2" s="1"/>
      <c r="E2" s="1"/>
    </row>
    <row r="4" customFormat="false" ht="15" hidden="false" customHeight="false" outlineLevel="0" collapsed="false">
      <c r="B4" s="4" t="s">
        <v>11</v>
      </c>
      <c r="C4" s="4"/>
      <c r="D4" s="5" t="s">
        <v>12</v>
      </c>
    </row>
    <row r="5" customFormat="false" ht="15" hidden="false" customHeight="false" outlineLevel="0" collapsed="false">
      <c r="B5" s="4" t="s">
        <v>13</v>
      </c>
      <c r="C5" s="4"/>
      <c r="D5" s="6" t="n">
        <v>46266</v>
      </c>
    </row>
    <row r="6" customFormat="false" ht="15" hidden="false" customHeight="false" outlineLevel="0" collapsed="false">
      <c r="B6" s="4" t="s">
        <v>14</v>
      </c>
      <c r="C6" s="4"/>
      <c r="D6" s="6" t="n">
        <v>46272</v>
      </c>
    </row>
    <row r="7" customFormat="false" ht="15" hidden="false" customHeight="false" outlineLevel="0" collapsed="false">
      <c r="B7" s="4" t="s">
        <v>15</v>
      </c>
      <c r="C7" s="4"/>
      <c r="D7" s="6" t="n">
        <v>46273</v>
      </c>
    </row>
    <row r="8" customFormat="false" ht="15" hidden="false" customHeight="false" outlineLevel="0" collapsed="false">
      <c r="B8" s="4" t="s">
        <v>16</v>
      </c>
      <c r="C8" s="4"/>
      <c r="D8" s="5" t="s">
        <v>17</v>
      </c>
    </row>
    <row r="9" customFormat="false" ht="15" hidden="false" customHeight="false" outlineLevel="0" collapsed="false">
      <c r="B9" s="4" t="s">
        <v>18</v>
      </c>
      <c r="C9" s="4"/>
      <c r="D9" s="5" t="s">
        <v>19</v>
      </c>
    </row>
  </sheetData>
  <mergeCells count="7">
    <mergeCell ref="B2:E2"/>
    <mergeCell ref="B4:C4"/>
    <mergeCell ref="B5:C5"/>
    <mergeCell ref="B6:C6"/>
    <mergeCell ref="B7:C7"/>
    <mergeCell ref="B8:C8"/>
    <mergeCell ref="B9:C9"/>
  </mergeCells>
  <dataValidations count="1">
    <dataValidation allowBlank="true" errorStyle="stop" operator="between" showDropDown="false" showErrorMessage="false" showInputMessage="false" sqref="D9" type="list">
      <formula1>"Verde,Amarillo,Rojo"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22"/>
  </cols>
  <sheetData>
    <row r="2" customFormat="false" ht="19.7" hidden="false" customHeight="false" outlineLevel="0" collapsed="false">
      <c r="B2" s="1" t="s">
        <v>20</v>
      </c>
      <c r="C2" s="1"/>
      <c r="D2" s="1"/>
      <c r="E2" s="1"/>
      <c r="F2" s="1"/>
    </row>
    <row r="4" customFormat="false" ht="16.15" hidden="false" customHeight="false" outlineLevel="0" collapsed="false">
      <c r="B4" s="7" t="s">
        <v>21</v>
      </c>
      <c r="C4" s="7"/>
      <c r="D4" s="7"/>
      <c r="E4" s="7"/>
      <c r="F4" s="7"/>
    </row>
    <row r="5" customFormat="false" ht="27.75" hidden="false" customHeight="true" outlineLevel="0" collapsed="false">
      <c r="B5" s="8" t="s">
        <v>22</v>
      </c>
      <c r="C5" s="8"/>
      <c r="D5" s="8"/>
      <c r="E5" s="8"/>
      <c r="F5" s="8"/>
    </row>
    <row r="6" customFormat="false" ht="27.75" hidden="false" customHeight="true" outlineLevel="0" collapsed="false">
      <c r="B6" s="8" t="s">
        <v>23</v>
      </c>
      <c r="C6" s="8"/>
      <c r="D6" s="8"/>
      <c r="E6" s="8"/>
      <c r="F6" s="8"/>
    </row>
    <row r="7" customFormat="false" ht="27.75" hidden="false" customHeight="true" outlineLevel="0" collapsed="false">
      <c r="B7" s="8" t="s">
        <v>24</v>
      </c>
      <c r="C7" s="8"/>
      <c r="D7" s="8"/>
      <c r="E7" s="8"/>
      <c r="F7" s="8"/>
    </row>
    <row r="9" customFormat="false" ht="16.15" hidden="false" customHeight="false" outlineLevel="0" collapsed="false">
      <c r="B9" s="7" t="s">
        <v>25</v>
      </c>
      <c r="C9" s="7"/>
      <c r="D9" s="7"/>
      <c r="E9" s="7"/>
      <c r="F9" s="7"/>
    </row>
    <row r="10" customFormat="false" ht="27.75" hidden="false" customHeight="true" outlineLevel="0" collapsed="false">
      <c r="B10" s="8" t="s">
        <v>26</v>
      </c>
      <c r="C10" s="8"/>
      <c r="D10" s="8"/>
      <c r="E10" s="8"/>
      <c r="F10" s="8"/>
    </row>
    <row r="11" customFormat="false" ht="27.75" hidden="false" customHeight="true" outlineLevel="0" collapsed="false">
      <c r="B11" s="8" t="s">
        <v>27</v>
      </c>
      <c r="C11" s="8"/>
      <c r="D11" s="8"/>
      <c r="E11" s="8"/>
      <c r="F11" s="8"/>
    </row>
  </sheetData>
  <mergeCells count="8">
    <mergeCell ref="B2:F2"/>
    <mergeCell ref="B4:F4"/>
    <mergeCell ref="B5:F5"/>
    <mergeCell ref="B6:F6"/>
    <mergeCell ref="B7:F7"/>
    <mergeCell ref="B9:F9"/>
    <mergeCell ref="B10:F10"/>
    <mergeCell ref="B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8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12"/>
  </cols>
  <sheetData>
    <row r="2" customFormat="false" ht="19.7" hidden="false" customHeight="false" outlineLevel="0" collapsed="false">
      <c r="B2" s="1" t="s">
        <v>28</v>
      </c>
      <c r="C2" s="1"/>
      <c r="D2" s="1"/>
      <c r="E2" s="1"/>
      <c r="F2" s="1"/>
      <c r="G2" s="1"/>
      <c r="H2" s="1"/>
      <c r="I2" s="1"/>
      <c r="J2" s="1"/>
    </row>
    <row r="4" customFormat="false" ht="26.85" hidden="false" customHeight="false" outlineLevel="0" collapsed="false">
      <c r="B4" s="9" t="s">
        <v>29</v>
      </c>
      <c r="C4" s="9" t="s">
        <v>30</v>
      </c>
      <c r="D4" s="9" t="s">
        <v>31</v>
      </c>
      <c r="E4" s="9" t="s">
        <v>32</v>
      </c>
      <c r="F4" s="9" t="s">
        <v>33</v>
      </c>
      <c r="G4" s="9" t="s">
        <v>34</v>
      </c>
      <c r="H4" s="9" t="s">
        <v>35</v>
      </c>
      <c r="I4" s="9" t="s">
        <v>36</v>
      </c>
      <c r="J4" s="9" t="s">
        <v>37</v>
      </c>
    </row>
    <row r="5" customFormat="false" ht="15" hidden="false" customHeight="false" outlineLevel="0" collapsed="false">
      <c r="B5" s="10" t="s">
        <v>38</v>
      </c>
      <c r="C5" s="10" t="s">
        <v>39</v>
      </c>
      <c r="D5" s="10" t="n">
        <v>99.5</v>
      </c>
      <c r="E5" s="10" t="s">
        <v>40</v>
      </c>
      <c r="F5" s="10" t="n">
        <v>99.4</v>
      </c>
      <c r="G5" s="10" t="n">
        <v>99.6</v>
      </c>
      <c r="H5" s="11" t="n">
        <f aca="false">G5-F5</f>
        <v>0.199999999999989</v>
      </c>
      <c r="I5" s="12" t="n">
        <f aca="false">IF(E5="Menor es mejor",IFERROR(D5/G5,0),IFERROR(G5/D5,0))</f>
        <v>1.00100502512563</v>
      </c>
      <c r="J5" s="13" t="str">
        <f aca="false">IF(I5&gt;=1,"Verde",IF(I5&gt;=0.9,"Amarillo","Rojo"))</f>
        <v>Verde</v>
      </c>
    </row>
    <row r="6" customFormat="false" ht="15" hidden="false" customHeight="false" outlineLevel="0" collapsed="false">
      <c r="B6" s="10" t="s">
        <v>41</v>
      </c>
      <c r="C6" s="10" t="s">
        <v>39</v>
      </c>
      <c r="D6" s="10" t="n">
        <v>95</v>
      </c>
      <c r="E6" s="10" t="s">
        <v>40</v>
      </c>
      <c r="F6" s="10" t="n">
        <v>93</v>
      </c>
      <c r="G6" s="10" t="n">
        <v>96</v>
      </c>
      <c r="H6" s="11" t="n">
        <f aca="false">G6-F6</f>
        <v>3</v>
      </c>
      <c r="I6" s="12" t="n">
        <f aca="false">IF(E6="Menor es mejor",IFERROR(D6/G6,0),IFERROR(G6/D6,0))</f>
        <v>1.01052631578947</v>
      </c>
      <c r="J6" s="13" t="str">
        <f aca="false">IF(I6&gt;=1,"Verde",IF(I6&gt;=0.9,"Amarillo","Rojo"))</f>
        <v>Verde</v>
      </c>
    </row>
    <row r="7" customFormat="false" ht="15" hidden="false" customHeight="false" outlineLevel="0" collapsed="false">
      <c r="B7" s="10" t="s">
        <v>42</v>
      </c>
      <c r="C7" s="10" t="s">
        <v>43</v>
      </c>
      <c r="D7" s="10" t="n">
        <v>4</v>
      </c>
      <c r="E7" s="10" t="s">
        <v>44</v>
      </c>
      <c r="F7" s="10" t="n">
        <v>5.2</v>
      </c>
      <c r="G7" s="10" t="n">
        <v>4.5</v>
      </c>
      <c r="H7" s="11" t="n">
        <f aca="false">G7-F7</f>
        <v>-0.7</v>
      </c>
      <c r="I7" s="12" t="n">
        <f aca="false">IF(E7="Menor es mejor",IFERROR(D7/G7,0),IFERROR(G7/D7,0))</f>
        <v>0.888888888888889</v>
      </c>
      <c r="J7" s="13" t="str">
        <f aca="false">IF(I7&gt;=1,"Verde",IF(I7&gt;=0.9,"Amarillo","Rojo"))</f>
        <v>Rojo</v>
      </c>
    </row>
    <row r="8" customFormat="false" ht="15" hidden="false" customHeight="false" outlineLevel="0" collapsed="false">
      <c r="B8" s="10" t="s">
        <v>45</v>
      </c>
      <c r="C8" s="10" t="s">
        <v>46</v>
      </c>
      <c r="D8" s="10" t="n">
        <v>50</v>
      </c>
      <c r="E8" s="10" t="s">
        <v>44</v>
      </c>
      <c r="F8" s="10" t="n">
        <v>62</v>
      </c>
      <c r="G8" s="10" t="n">
        <v>48</v>
      </c>
      <c r="H8" s="11" t="n">
        <f aca="false">G8-F8</f>
        <v>-14</v>
      </c>
      <c r="I8" s="12" t="n">
        <f aca="false">IF(E8="Menor es mejor",IFERROR(D8/G8,0),IFERROR(G8/D8,0))</f>
        <v>1.04166666666667</v>
      </c>
      <c r="J8" s="13" t="str">
        <f aca="false">IF(I8&gt;=1,"Verde",IF(I8&gt;=0.9,"Amarillo","Rojo"))</f>
        <v>Verde</v>
      </c>
    </row>
    <row r="9" customFormat="false" ht="15" hidden="false" customHeight="false" outlineLevel="0" collapsed="false">
      <c r="B9" s="10" t="s">
        <v>47</v>
      </c>
      <c r="C9" s="10" t="s">
        <v>39</v>
      </c>
      <c r="D9" s="10" t="n">
        <v>90</v>
      </c>
      <c r="E9" s="10" t="s">
        <v>40</v>
      </c>
      <c r="F9" s="10" t="n">
        <v>88</v>
      </c>
      <c r="G9" s="10" t="n">
        <v>91</v>
      </c>
      <c r="H9" s="11" t="n">
        <f aca="false">G9-F9</f>
        <v>3</v>
      </c>
      <c r="I9" s="12" t="n">
        <f aca="false">IF(E9="Menor es mejor",IFERROR(D9/G9,0),IFERROR(G9/D9,0))</f>
        <v>1.01111111111111</v>
      </c>
      <c r="J9" s="13" t="str">
        <f aca="false">IF(I9&gt;=1,"Verde",IF(I9&gt;=0.9,"Amarillo","Rojo"))</f>
        <v>Verde</v>
      </c>
    </row>
    <row r="10" customFormat="false" ht="15" hidden="false" customHeight="false" outlineLevel="0" collapsed="false">
      <c r="B10" s="10" t="s">
        <v>48</v>
      </c>
      <c r="C10" s="10" t="s">
        <v>39</v>
      </c>
      <c r="D10" s="10" t="n">
        <v>100</v>
      </c>
      <c r="E10" s="10" t="s">
        <v>40</v>
      </c>
      <c r="F10" s="10" t="n">
        <v>97</v>
      </c>
      <c r="G10" s="10" t="n">
        <v>98</v>
      </c>
      <c r="H10" s="11" t="n">
        <f aca="false">G10-F10</f>
        <v>1</v>
      </c>
      <c r="I10" s="12" t="n">
        <f aca="false">IF(E10="Menor es mejor",IFERROR(D10/G10,0),IFERROR(G10/D10,0))</f>
        <v>0.98</v>
      </c>
      <c r="J10" s="13" t="str">
        <f aca="false">IF(I10&gt;=1,"Verde",IF(I10&gt;=0.9,"Amarillo","Rojo"))</f>
        <v>Amarillo</v>
      </c>
    </row>
  </sheetData>
  <mergeCells count="1">
    <mergeCell ref="B2:J2"/>
  </mergeCells>
  <dataValidations count="1">
    <dataValidation allowBlank="true" errorStyle="stop" operator="between" showDropDown="false" showErrorMessage="false" showInputMessage="false" sqref="E5:E25" type="list">
      <formula1>"Mayor es mejor,Menor es mejor"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34"/>
  </cols>
  <sheetData>
    <row r="2" customFormat="false" ht="19.7" hidden="false" customHeight="false" outlineLevel="0" collapsed="false">
      <c r="B2" s="1" t="s">
        <v>49</v>
      </c>
      <c r="C2" s="1"/>
      <c r="D2" s="1"/>
      <c r="E2" s="1"/>
      <c r="F2" s="1"/>
      <c r="G2" s="1"/>
      <c r="H2" s="1"/>
      <c r="I2" s="1"/>
    </row>
    <row r="4" customFormat="false" ht="15" hidden="false" customHeight="false" outlineLevel="0" collapsed="false">
      <c r="B4" s="9" t="s">
        <v>50</v>
      </c>
      <c r="C4" s="9" t="s">
        <v>51</v>
      </c>
      <c r="D4" s="9" t="s">
        <v>52</v>
      </c>
      <c r="E4" s="9" t="s">
        <v>53</v>
      </c>
      <c r="F4" s="9" t="s">
        <v>54</v>
      </c>
      <c r="G4" s="9" t="s">
        <v>55</v>
      </c>
      <c r="H4" s="9" t="s">
        <v>56</v>
      </c>
    </row>
    <row r="5" customFormat="false" ht="15" hidden="false" customHeight="false" outlineLevel="0" collapsed="false">
      <c r="B5" s="10" t="s">
        <v>57</v>
      </c>
      <c r="C5" s="10" t="s">
        <v>58</v>
      </c>
      <c r="D5" s="14" t="n">
        <v>0.65</v>
      </c>
      <c r="E5" s="10" t="s">
        <v>19</v>
      </c>
      <c r="F5" s="10" t="s">
        <v>59</v>
      </c>
      <c r="G5" s="15" t="n">
        <v>46285</v>
      </c>
      <c r="H5" s="10" t="s">
        <v>60</v>
      </c>
    </row>
    <row r="6" customFormat="false" ht="15" hidden="false" customHeight="false" outlineLevel="0" collapsed="false">
      <c r="B6" s="10" t="s">
        <v>61</v>
      </c>
      <c r="C6" s="10" t="s">
        <v>62</v>
      </c>
      <c r="D6" s="14" t="n">
        <v>0.3</v>
      </c>
      <c r="E6" s="10" t="s">
        <v>63</v>
      </c>
      <c r="F6" s="10" t="s">
        <v>64</v>
      </c>
      <c r="G6" s="15" t="n">
        <v>46300</v>
      </c>
      <c r="H6" s="10" t="s">
        <v>65</v>
      </c>
    </row>
    <row r="7" customFormat="false" ht="15" hidden="false" customHeight="false" outlineLevel="0" collapsed="false">
      <c r="B7" s="10" t="s">
        <v>66</v>
      </c>
      <c r="C7" s="10" t="s">
        <v>67</v>
      </c>
      <c r="D7" s="14" t="n">
        <v>0.8</v>
      </c>
      <c r="E7" s="10" t="s">
        <v>68</v>
      </c>
      <c r="F7" s="10" t="s">
        <v>69</v>
      </c>
      <c r="G7" s="15" t="n">
        <v>46280</v>
      </c>
      <c r="H7" s="10" t="s">
        <v>70</v>
      </c>
    </row>
  </sheetData>
  <mergeCells count="1">
    <mergeCell ref="B2:I2"/>
  </mergeCells>
  <dataValidations count="1">
    <dataValidation allowBlank="true" errorStyle="stop" operator="between" showDropDown="false" showErrorMessage="false" showInputMessage="false" sqref="E5:E25" type="list">
      <formula1>"Verde,Amarillo,Rojo"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26"/>
    <col collapsed="false" customWidth="true" hidden="false" outlineLevel="0" max="9" min="9" style="0" width="30"/>
  </cols>
  <sheetData>
    <row r="2" customFormat="false" ht="19.7" hidden="false" customHeight="false" outlineLevel="0" collapsed="false">
      <c r="B2" s="1" t="s">
        <v>71</v>
      </c>
      <c r="C2" s="1"/>
      <c r="D2" s="1"/>
      <c r="E2" s="1"/>
      <c r="F2" s="1"/>
      <c r="G2" s="1"/>
      <c r="H2" s="1"/>
      <c r="I2" s="1"/>
      <c r="J2" s="1"/>
    </row>
    <row r="4" customFormat="false" ht="15" hidden="false" customHeight="false" outlineLevel="0" collapsed="false">
      <c r="B4" s="9" t="s">
        <v>72</v>
      </c>
      <c r="C4" s="9" t="s">
        <v>73</v>
      </c>
      <c r="D4" s="9" t="s">
        <v>74</v>
      </c>
      <c r="E4" s="9" t="s">
        <v>75</v>
      </c>
      <c r="F4" s="9" t="s">
        <v>37</v>
      </c>
      <c r="G4" s="9" t="s">
        <v>51</v>
      </c>
      <c r="H4" s="9" t="s">
        <v>76</v>
      </c>
      <c r="I4" s="9" t="s">
        <v>77</v>
      </c>
    </row>
    <row r="5" customFormat="false" ht="23.85" hidden="false" customHeight="false" outlineLevel="0" collapsed="false">
      <c r="B5" s="10" t="s">
        <v>78</v>
      </c>
      <c r="C5" s="15" t="n">
        <v>46268</v>
      </c>
      <c r="D5" s="10" t="s">
        <v>79</v>
      </c>
      <c r="E5" s="10" t="s">
        <v>80</v>
      </c>
      <c r="F5" s="10" t="s">
        <v>81</v>
      </c>
      <c r="G5" s="10" t="s">
        <v>82</v>
      </c>
      <c r="H5" s="10" t="s">
        <v>83</v>
      </c>
      <c r="I5" s="10" t="s">
        <v>84</v>
      </c>
    </row>
    <row r="6" customFormat="false" ht="15" hidden="false" customHeight="false" outlineLevel="0" collapsed="false">
      <c r="B6" s="10" t="s">
        <v>85</v>
      </c>
      <c r="C6" s="15" t="n">
        <v>46270</v>
      </c>
      <c r="D6" s="10" t="s">
        <v>86</v>
      </c>
      <c r="E6" s="10" t="s">
        <v>87</v>
      </c>
      <c r="F6" s="10" t="s">
        <v>88</v>
      </c>
      <c r="G6" s="10" t="s">
        <v>89</v>
      </c>
      <c r="H6" s="10" t="s">
        <v>90</v>
      </c>
      <c r="I6" s="10" t="s">
        <v>91</v>
      </c>
    </row>
  </sheetData>
  <mergeCells count="1">
    <mergeCell ref="B2:J2"/>
  </mergeCells>
  <dataValidations count="1">
    <dataValidation allowBlank="true" errorStyle="stop" operator="between" showDropDown="false" showErrorMessage="false" showInputMessage="false" sqref="E5:E35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14"/>
    <col collapsed="false" customWidth="true" hidden="false" outlineLevel="0" max="6" min="6" style="0" width="34"/>
    <col collapsed="false" customWidth="true" hidden="false" outlineLevel="0" max="7" min="7" style="0" width="16"/>
  </cols>
  <sheetData>
    <row r="2" customFormat="false" ht="19.7" hidden="false" customHeight="false" outlineLevel="0" collapsed="false">
      <c r="B2" s="1" t="s">
        <v>92</v>
      </c>
      <c r="C2" s="1"/>
      <c r="D2" s="1"/>
      <c r="E2" s="1"/>
      <c r="F2" s="1"/>
      <c r="G2" s="1"/>
      <c r="H2" s="1"/>
      <c r="I2" s="1"/>
    </row>
    <row r="4" customFormat="false" ht="16.15" hidden="false" customHeight="false" outlineLevel="0" collapsed="false">
      <c r="B4" s="9" t="s">
        <v>93</v>
      </c>
      <c r="C4" s="9" t="s">
        <v>94</v>
      </c>
      <c r="D4" s="9" t="s">
        <v>95</v>
      </c>
      <c r="E4" s="9" t="s">
        <v>96</v>
      </c>
      <c r="F4" s="9" t="s">
        <v>97</v>
      </c>
      <c r="G4" s="9" t="s">
        <v>51</v>
      </c>
      <c r="L4" s="2" t="s">
        <v>98</v>
      </c>
    </row>
    <row r="5" customFormat="false" ht="15" hidden="false" customHeight="false" outlineLevel="0" collapsed="false">
      <c r="B5" s="10" t="s">
        <v>99</v>
      </c>
      <c r="C5" s="10" t="s">
        <v>87</v>
      </c>
      <c r="D5" s="10" t="s">
        <v>80</v>
      </c>
      <c r="E5" s="13" t="str">
        <f aca="false">IF(MATCH(C5,$L$5:$L$7,0)*MATCH(D5,$L$5:$L$7,0)&gt;=6,"Alto",IF(MATCH(C5,$L$5:$L$7,0)*MATCH(D5,$L$5:$L$7,0)&gt;=3,"Medio","Bajo"))</f>
        <v>Alto</v>
      </c>
      <c r="F5" s="10" t="s">
        <v>100</v>
      </c>
      <c r="G5" s="10" t="s">
        <v>101</v>
      </c>
      <c r="L5" s="16" t="s">
        <v>102</v>
      </c>
      <c r="M5" s="0" t="n">
        <v>1</v>
      </c>
    </row>
    <row r="6" customFormat="false" ht="15" hidden="false" customHeight="false" outlineLevel="0" collapsed="false">
      <c r="B6" s="10" t="s">
        <v>103</v>
      </c>
      <c r="C6" s="10" t="s">
        <v>102</v>
      </c>
      <c r="D6" s="10" t="s">
        <v>87</v>
      </c>
      <c r="E6" s="13" t="str">
        <f aca="false">IF(MATCH(C6,$L$5:$L$7,0)*MATCH(D6,$L$5:$L$7,0)&gt;=6,"Alto",IF(MATCH(C6,$L$5:$L$7,0)*MATCH(D6,$L$5:$L$7,0)&gt;=3,"Medio","Bajo"))</f>
        <v>Bajo</v>
      </c>
      <c r="F6" s="10" t="s">
        <v>100</v>
      </c>
      <c r="G6" s="10" t="s">
        <v>101</v>
      </c>
      <c r="L6" s="16" t="s">
        <v>87</v>
      </c>
      <c r="M6" s="0" t="n">
        <v>2</v>
      </c>
    </row>
    <row r="7" customFormat="false" ht="15" hidden="false" customHeight="false" outlineLevel="0" collapsed="false">
      <c r="L7" s="16" t="s">
        <v>80</v>
      </c>
      <c r="M7" s="0" t="n">
        <v>3</v>
      </c>
    </row>
  </sheetData>
  <mergeCells count="1">
    <mergeCell ref="B2:I2"/>
  </mergeCells>
  <dataValidations count="1">
    <dataValidation allowBlank="true" errorStyle="stop" operator="between" showDropDown="false" showErrorMessage="false" showInputMessage="false" sqref="C5:D25" type="list">
      <formula1>"Baja,Media,Alta"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</cols>
  <sheetData>
    <row r="2" customFormat="false" ht="19.7" hidden="false" customHeight="false" outlineLevel="0" collapsed="false">
      <c r="B2" s="1" t="s">
        <v>104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9" t="s">
        <v>105</v>
      </c>
      <c r="C4" s="9" t="s">
        <v>51</v>
      </c>
      <c r="D4" s="9" t="s">
        <v>106</v>
      </c>
      <c r="E4" s="9" t="s">
        <v>107</v>
      </c>
      <c r="F4" s="9" t="s">
        <v>37</v>
      </c>
    </row>
    <row r="5" customFormat="false" ht="15" hidden="false" customHeight="false" outlineLevel="0" collapsed="false">
      <c r="B5" s="10" t="s">
        <v>108</v>
      </c>
      <c r="C5" s="10" t="s">
        <v>62</v>
      </c>
      <c r="D5" s="15" t="n">
        <v>46275</v>
      </c>
      <c r="E5" s="10" t="s">
        <v>80</v>
      </c>
      <c r="F5" s="10" t="s">
        <v>109</v>
      </c>
    </row>
    <row r="6" customFormat="false" ht="15" hidden="false" customHeight="false" outlineLevel="0" collapsed="false">
      <c r="B6" s="10" t="s">
        <v>110</v>
      </c>
      <c r="C6" s="10" t="s">
        <v>67</v>
      </c>
      <c r="D6" s="15" t="n">
        <v>46277</v>
      </c>
      <c r="E6" s="10" t="s">
        <v>87</v>
      </c>
      <c r="F6" s="10" t="s">
        <v>111</v>
      </c>
    </row>
  </sheetData>
  <mergeCells count="1">
    <mergeCell ref="B2:H2"/>
  </mergeCells>
  <dataValidations count="2">
    <dataValidation allowBlank="true" errorStyle="stop" operator="between" showDropDown="false" showErrorMessage="false" showInputMessage="false" sqref="E5:E35" type="list">
      <formula1>"Alta,Media,Baja"</formula1>
      <formula2>0</formula2>
    </dataValidation>
    <dataValidation allowBlank="true" errorStyle="stop" operator="between" showDropDown="false" showErrorMessage="false" showInputMessage="false" sqref="F5:F35" type="list">
      <formula1>"Pendiente,En curso,Completado,Atrasado"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24"/>
  </cols>
  <sheetData>
    <row r="2" customFormat="false" ht="19.7" hidden="false" customHeight="false" outlineLevel="0" collapsed="false">
      <c r="B2" s="1" t="s">
        <v>112</v>
      </c>
      <c r="C2" s="1"/>
      <c r="D2" s="1"/>
      <c r="E2" s="1"/>
      <c r="F2" s="1"/>
    </row>
    <row r="4" customFormat="false" ht="25.5" hidden="false" customHeight="true" outlineLevel="0" collapsed="false">
      <c r="B4" s="8" t="s">
        <v>113</v>
      </c>
      <c r="C4" s="8"/>
      <c r="D4" s="8"/>
      <c r="E4" s="8"/>
      <c r="F4" s="8"/>
    </row>
    <row r="5" customFormat="false" ht="25.5" hidden="false" customHeight="true" outlineLevel="0" collapsed="false">
      <c r="B5" s="8" t="s">
        <v>114</v>
      </c>
      <c r="C5" s="8"/>
      <c r="D5" s="8"/>
      <c r="E5" s="8"/>
      <c r="F5" s="8"/>
    </row>
    <row r="6" customFormat="false" ht="25.5" hidden="false" customHeight="true" outlineLevel="0" collapsed="false">
      <c r="B6" s="8" t="s">
        <v>115</v>
      </c>
      <c r="C6" s="8"/>
      <c r="D6" s="8"/>
      <c r="E6" s="8"/>
      <c r="F6" s="8"/>
    </row>
  </sheetData>
  <mergeCells count="4">
    <mergeCell ref="B2:F2"/>
    <mergeCell ref="B4:F4"/>
    <mergeCell ref="B5:F5"/>
    <mergeCell ref="B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2026-09-07T05:28:37Z</dcterms:created>
  <dc:creator>openpyxl</dc:creator>
  <dc:description/>
  <dc:language>en-US</dc:language>
  <cp:lastModifiedBy/>
  <dcterms:modified xsi:type="dcterms:W3CDTF">2026-09-07T05:28:38Z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