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Ventas_m2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Order_Intake" sheetId="5" state="visible" r:id="rId5"/>
    <sheet xmlns:r="http://schemas.openxmlformats.org/officeDocument/2006/relationships" name="Pipeline" sheetId="6" state="visible" r:id="rId6"/>
    <sheet xmlns:r="http://schemas.openxmlformats.org/officeDocument/2006/relationships" name="Coment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6">
    <font>
      <name val="Calibri"/>
      <family val="2"/>
      <color theme="1"/>
      <sz val="11"/>
      <scheme val="minor"/>
    </font>
    <font>
      <name val="Calibri"/>
      <b val="1"/>
      <color rgb="000B2545"/>
      <sz val="14"/>
    </font>
    <font>
      <name val="Calibri"/>
      <i val="1"/>
      <color rgb="00666666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B2545"/>
      </patternFill>
    </fill>
    <fill>
      <patternFill patternType="solid">
        <fgColor rgb="00EDEFF2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2" borderId="1" pivotButton="0" quotePrefix="0" xfId="0"/>
    <xf numFmtId="1" fontId="3" fillId="2" borderId="1" pivotButton="0" quotePrefix="0" xfId="0"/>
    <xf numFmtId="9" fontId="3" fillId="2" borderId="1" pivotButton="0" quotePrefix="0" xfId="0"/>
    <xf numFmtId="3" fontId="3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4" borderId="1" pivotButton="0" quotePrefix="0" xfId="0"/>
    <xf numFmtId="9" fontId="3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9" fontId="4" fillId="5" borderId="1" pivotButton="0" quotePrefix="0" xfId="0"/>
    <xf numFmtId="164" fontId="3" fillId="2" borderId="1" pivotButton="0" quotePrefix="0" xfId="0"/>
    <xf numFmtId="164" fontId="3" fillId="4" borderId="1" pivotButton="0" quotePrefix="0" xfId="0"/>
    <xf numFmtId="0" fontId="3" fillId="5" borderId="1" pivotButton="0" quotePrefix="0" xfId="0"/>
    <xf numFmtId="164" fontId="4" fillId="5" borderId="1" pivotButton="0" quotePrefix="0" xfId="0"/>
    <xf numFmtId="3" fontId="0" fillId="0" borderId="0" pivotButton="0" quotePrefix="0" xfId="0"/>
    <xf numFmtId="0" fontId="4" fillId="4" borderId="1" pivotButton="0" quotePrefix="0" xfId="0"/>
  </cellXfs>
  <cellStyles count="1">
    <cellStyle name="Normal" xfId="0" builtinId="0" hidden="0"/>
  </cellStyles>
  <dxfs count="4">
    <dxf>
      <fill>
        <patternFill/>
      </fill>
    </dxf>
    <dxf>
      <fill>
        <patternFill patternType="solid">
          <fgColor rgb="00C8E6C9"/>
        </patternFill>
      </fill>
    </dxf>
    <dxf>
      <fill>
        <patternFill patternType="solid">
          <fgColor rgb="00FFE8A3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Comité de Operaciones · Ventas, Revenue y Order Intake</t>
        </is>
      </c>
    </row>
    <row r="2">
      <c r="A2" s="2" t="inlineStr">
        <is>
          <t>Customer Excellence — plantilla semanal que alimenta las 3 diapositivas del comité</t>
        </is>
      </c>
    </row>
    <row r="4">
      <c r="A4" s="3" t="inlineStr">
        <is>
          <t>1. Config: actualice mes, semana de corte, fecha del comité y umbrales del semáforo.</t>
        </is>
      </c>
    </row>
    <row r="5">
      <c r="A5" s="3" t="inlineStr">
        <is>
          <t>2. Ventas_m2: por línea, F'cast inicial/actual, Budget, F'cast semanal (W1-W4), Real/Proyección semanal y Real Sales facturado.</t>
        </is>
      </c>
    </row>
    <row r="6">
      <c r="A6" s="3" t="inlineStr">
        <is>
          <t>3. Revenue: cantidad F'cast (m², und) y valor en COP por línea; Budget en m² o en COP cuando aplique.</t>
        </is>
      </c>
    </row>
    <row r="7">
      <c r="A7" s="3" t="inlineStr">
        <is>
          <t>4. Order_Intake: Budget y m² ganados (adjudicados) por semana; Estado = Cerrada / En curso / Proyectada.</t>
        </is>
      </c>
    </row>
    <row r="8">
      <c r="A8" s="3" t="inlineStr">
        <is>
          <t>5. Pipeline: negocios por ganar con m², probabilidad y semana/mes de cierre esperado.</t>
        </is>
      </c>
    </row>
    <row r="9">
      <c r="A9" s="3" t="inlineStr">
        <is>
          <t>6. Comentarios: mensajes propios para cada diapositiva (opcional; se suman a las alertas automáticas).</t>
        </is>
      </c>
    </row>
    <row r="10">
      <c r="A10" s="3" t="inlineStr"/>
    </row>
    <row r="11">
      <c r="A11" s="3" t="inlineStr">
        <is>
          <t>Celdas AMARILLAS = datos de entrada.  Celdas GRISES = fórmulas (no editar).</t>
        </is>
      </c>
    </row>
    <row r="12">
      <c r="A12" s="3" t="inlineStr">
        <is>
          <t>Subtotales Premium / Estándar, % de cumplimiento, gaps y precios promedio se calculan solos.</t>
        </is>
      </c>
    </row>
    <row r="13">
      <c r="A13" s="3" t="inlineStr"/>
    </row>
    <row r="14">
      <c r="A14" s="3" t="inlineStr">
        <is>
          <t>Generar la presentación:  python scripts/generar_ppt_ventas.py plantilla/Plantilla_Ventas_OrderIntake.xlsx</t>
        </is>
      </c>
    </row>
    <row r="15">
      <c r="A15" s="3" t="inlineStr">
        <is>
          <t>Cada gráfico del PowerPoint es nativo: clic derecho &gt; Editar datos abre su Excel embebido</t>
        </is>
      </c>
    </row>
    <row r="16">
      <c r="A16" s="3" t="inlineStr">
        <is>
          <t>(celdas amarillas editables) y el gráfico se actualiza sin macros ni vínculos externos.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Configuración del periodo</t>
        </is>
      </c>
    </row>
    <row r="2">
      <c r="A2" s="2" t="inlineStr">
        <is>
          <t>Estos valores alimentan títulos, semáforos y alertas</t>
        </is>
      </c>
    </row>
    <row r="3">
      <c r="A3" s="4" t="inlineStr">
        <is>
          <t>Mes</t>
        </is>
      </c>
      <c r="B3" s="5" t="inlineStr">
        <is>
          <t>Septiembre</t>
        </is>
      </c>
    </row>
    <row r="4">
      <c r="A4" s="4" t="inlineStr">
        <is>
          <t>Año</t>
        </is>
      </c>
      <c r="B4" s="6" t="n">
        <v>2026</v>
      </c>
    </row>
    <row r="5">
      <c r="A5" s="4" t="inlineStr">
        <is>
          <t>Semana de corte (1-5)</t>
        </is>
      </c>
      <c r="B5" s="6" t="n">
        <v>4</v>
      </c>
    </row>
    <row r="6">
      <c r="A6" s="4" t="inlineStr">
        <is>
          <t>Fecha del comité</t>
        </is>
      </c>
      <c r="B6" s="5" t="inlineStr">
        <is>
          <t>30/09/2026</t>
        </is>
      </c>
    </row>
    <row r="7">
      <c r="A7" s="4" t="inlineStr">
        <is>
          <t>Área que presenta</t>
        </is>
      </c>
      <c r="B7" s="5" t="inlineStr">
        <is>
          <t>Customer Excellence</t>
        </is>
      </c>
    </row>
    <row r="8">
      <c r="A8" s="4" t="inlineStr">
        <is>
          <t>Umbral verde (≥)</t>
        </is>
      </c>
      <c r="B8" s="7" t="n">
        <v>0.95</v>
      </c>
    </row>
    <row r="9">
      <c r="A9" s="4" t="inlineStr">
        <is>
          <t>Umbral amarillo (≥)</t>
        </is>
      </c>
      <c r="B9" s="7" t="n">
        <v>0.85</v>
      </c>
    </row>
    <row r="10">
      <c r="A10" s="4" t="inlineStr">
        <is>
          <t>Alcance Order Intake</t>
        </is>
      </c>
      <c r="B10" s="5" t="inlineStr">
        <is>
          <t>Premium (Env + Refri)</t>
        </is>
      </c>
    </row>
    <row r="11">
      <c r="A11" s="4" t="inlineStr">
        <is>
          <t>Budget Order Intake mes (m²)</t>
        </is>
      </c>
      <c r="B11" s="8" t="n">
        <v>147719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2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Volumen de ventas (m²) por línea</t>
        </is>
      </c>
    </row>
    <row r="2">
      <c r="A2" s="2" t="inlineStr">
        <is>
          <t>F'cast semanal = plan de facturación por semana · Real/Proy = facturado en semanas cerradas y proyección en la semana en curso · Real Sales = facturado acumulado</t>
        </is>
      </c>
    </row>
    <row r="4" ht="32" customHeight="1">
      <c r="A4" s="9" t="inlineStr">
        <is>
          <t>Línea</t>
        </is>
      </c>
      <c r="B4" s="9" t="inlineStr">
        <is>
          <t>Grupo</t>
        </is>
      </c>
      <c r="C4" s="9" t="inlineStr">
        <is>
          <t>F'cast Inicial</t>
        </is>
      </c>
      <c r="D4" s="9" t="inlineStr">
        <is>
          <t>F'cast Actual</t>
        </is>
      </c>
      <c r="E4" s="9" t="inlineStr">
        <is>
          <t>Budget</t>
        </is>
      </c>
      <c r="F4" s="9" t="inlineStr">
        <is>
          <t>F'cast W1</t>
        </is>
      </c>
      <c r="G4" s="9" t="inlineStr">
        <is>
          <t>F'cast W2</t>
        </is>
      </c>
      <c r="H4" s="9" t="inlineStr">
        <is>
          <t>F'cast W3</t>
        </is>
      </c>
      <c r="I4" s="9" t="inlineStr">
        <is>
          <t>F'cast W4</t>
        </is>
      </c>
      <c r="J4" s="9" t="inlineStr">
        <is>
          <t>Real/Proy W1</t>
        </is>
      </c>
      <c r="K4" s="9" t="inlineStr">
        <is>
          <t>Real/Proy W2</t>
        </is>
      </c>
      <c r="L4" s="9" t="inlineStr">
        <is>
          <t>Real/Proy W3</t>
        </is>
      </c>
      <c r="M4" s="9" t="inlineStr">
        <is>
          <t>Real/Proy W4</t>
        </is>
      </c>
      <c r="N4" s="9" t="inlineStr">
        <is>
          <t>Real Sales (facturado)</t>
        </is>
      </c>
      <c r="O4" s="9" t="inlineStr">
        <is>
          <t>Cierre proyectado</t>
        </is>
      </c>
      <c r="P4" s="9" t="inlineStr">
        <is>
          <t>% F'cast vs Budget</t>
        </is>
      </c>
      <c r="Q4" s="9" t="inlineStr">
        <is>
          <t>% Real vs Budget</t>
        </is>
      </c>
      <c r="R4" s="9" t="inlineStr">
        <is>
          <t>Gap Real vs Budget</t>
        </is>
      </c>
      <c r="S4" s="9" t="inlineStr">
        <is>
          <t>Cumpl. W1</t>
        </is>
      </c>
      <c r="T4" s="9" t="inlineStr">
        <is>
          <t>Cumpl. W2</t>
        </is>
      </c>
      <c r="U4" s="9" t="inlineStr">
        <is>
          <t>Cumpl. W3</t>
        </is>
      </c>
      <c r="V4" s="9" t="inlineStr">
        <is>
          <t>Cumpl. W4</t>
        </is>
      </c>
    </row>
    <row r="5">
      <c r="A5" s="5" t="inlineStr">
        <is>
          <t>Envolventes</t>
        </is>
      </c>
      <c r="B5" s="5" t="inlineStr">
        <is>
          <t>Premium</t>
        </is>
      </c>
      <c r="C5" s="8" t="n">
        <v>103379</v>
      </c>
      <c r="D5" s="8" t="n">
        <v>83329</v>
      </c>
      <c r="E5" s="8" t="n">
        <v>91536</v>
      </c>
      <c r="F5" s="8" t="n">
        <v>25832</v>
      </c>
      <c r="G5" s="8" t="n">
        <v>16666</v>
      </c>
      <c r="H5" s="8" t="n">
        <v>19999</v>
      </c>
      <c r="I5" s="8" t="n">
        <v>20832</v>
      </c>
      <c r="J5" s="8" t="n">
        <v>28862</v>
      </c>
      <c r="K5" s="8" t="n">
        <v>19733</v>
      </c>
      <c r="L5" s="8" t="n">
        <v>17184</v>
      </c>
      <c r="M5" s="8" t="n">
        <v>17550</v>
      </c>
      <c r="N5" s="8" t="n">
        <v>80178</v>
      </c>
      <c r="O5" s="10">
        <f>IF(A5="","",SUM(J5:M5))</f>
        <v/>
      </c>
      <c r="P5" s="11">
        <f>IF(OR(A5="",E5=0),"",D5/E5)</f>
        <v/>
      </c>
      <c r="Q5" s="11">
        <f>IF(OR(A5="",E5=0),"",N5/E5)</f>
        <v/>
      </c>
      <c r="R5" s="10">
        <f>IF(A5="","",N5-E5)</f>
        <v/>
      </c>
      <c r="S5" s="11">
        <f>IF(OR(A5="",F5=0),"",J5/F5)</f>
        <v/>
      </c>
      <c r="T5" s="11">
        <f>IF(OR(A5="",G5=0),"",K5/G5)</f>
        <v/>
      </c>
      <c r="U5" s="11">
        <f>IF(OR(A5="",H5=0),"",L5/H5)</f>
        <v/>
      </c>
      <c r="V5" s="11">
        <f>IF(OR(A5="",I5=0),"",M5/I5)</f>
        <v/>
      </c>
    </row>
    <row r="6">
      <c r="A6" s="5" t="inlineStr">
        <is>
          <t>Refrigeración</t>
        </is>
      </c>
      <c r="B6" s="5" t="inlineStr">
        <is>
          <t>Premium</t>
        </is>
      </c>
      <c r="C6" s="8" t="n">
        <v>35600</v>
      </c>
      <c r="D6" s="8" t="n">
        <v>41293</v>
      </c>
      <c r="E6" s="8" t="n">
        <v>43141</v>
      </c>
      <c r="F6" s="8" t="n">
        <v>12801</v>
      </c>
      <c r="G6" s="8" t="n">
        <v>8259</v>
      </c>
      <c r="H6" s="8" t="n">
        <v>9910</v>
      </c>
      <c r="I6" s="8" t="n">
        <v>10323</v>
      </c>
      <c r="J6" s="8" t="n">
        <v>12610</v>
      </c>
      <c r="K6" s="8" t="n">
        <v>5429</v>
      </c>
      <c r="L6" s="8" t="n">
        <v>8229</v>
      </c>
      <c r="M6" s="8" t="n">
        <v>15025</v>
      </c>
      <c r="N6" s="8" t="n">
        <v>33426</v>
      </c>
      <c r="O6" s="10">
        <f>IF(A6="","",SUM(J6:M6))</f>
        <v/>
      </c>
      <c r="P6" s="11">
        <f>IF(OR(A6="",E6=0),"",D6/E6)</f>
        <v/>
      </c>
      <c r="Q6" s="11">
        <f>IF(OR(A6="",E6=0),"",N6/E6)</f>
        <v/>
      </c>
      <c r="R6" s="10">
        <f>IF(A6="","",N6-E6)</f>
        <v/>
      </c>
      <c r="S6" s="11">
        <f>IF(OR(A6="",F6=0),"",J6/F6)</f>
        <v/>
      </c>
      <c r="T6" s="11">
        <f>IF(OR(A6="",G6=0),"",K6/G6)</f>
        <v/>
      </c>
      <c r="U6" s="11">
        <f>IF(OR(A6="",H6=0),"",L6/H6)</f>
        <v/>
      </c>
      <c r="V6" s="11">
        <f>IF(OR(A6="",I6=0),"",M6/I6)</f>
        <v/>
      </c>
    </row>
    <row r="7">
      <c r="A7" s="5" t="inlineStr">
        <is>
          <t>KingCore</t>
        </is>
      </c>
      <c r="B7" s="5" t="inlineStr">
        <is>
          <t>Estándar</t>
        </is>
      </c>
      <c r="C7" s="8" t="n">
        <v>29779</v>
      </c>
      <c r="D7" s="8" t="n">
        <v>25931</v>
      </c>
      <c r="E7" s="8" t="n">
        <v>27974</v>
      </c>
      <c r="F7" s="8" t="n">
        <v>3690</v>
      </c>
      <c r="G7" s="8" t="n">
        <v>5186</v>
      </c>
      <c r="H7" s="8" t="n">
        <v>10572</v>
      </c>
      <c r="I7" s="8" t="n">
        <v>6483</v>
      </c>
      <c r="J7" s="8" t="n">
        <v>4460</v>
      </c>
      <c r="K7" s="8" t="n">
        <v>1760</v>
      </c>
      <c r="L7" s="8" t="n">
        <v>9860</v>
      </c>
      <c r="M7" s="8" t="n">
        <v>9129</v>
      </c>
      <c r="N7" s="8" t="n">
        <v>25209</v>
      </c>
      <c r="O7" s="10">
        <f>IF(A7="","",SUM(J7:M7))</f>
        <v/>
      </c>
      <c r="P7" s="11">
        <f>IF(OR(A7="",E7=0),"",D7/E7)</f>
        <v/>
      </c>
      <c r="Q7" s="11">
        <f>IF(OR(A7="",E7=0),"",N7/E7)</f>
        <v/>
      </c>
      <c r="R7" s="10">
        <f>IF(A7="","",N7-E7)</f>
        <v/>
      </c>
      <c r="S7" s="11">
        <f>IF(OR(A7="",F7=0),"",J7/F7)</f>
        <v/>
      </c>
      <c r="T7" s="11">
        <f>IF(OR(A7="",G7=0),"",K7/G7)</f>
        <v/>
      </c>
      <c r="U7" s="11">
        <f>IF(OR(A7="",H7=0),"",L7/H7)</f>
        <v/>
      </c>
      <c r="V7" s="11">
        <f>IF(OR(A7="",I7=0),"",M7/I7)</f>
        <v/>
      </c>
    </row>
    <row r="8">
      <c r="A8" s="5" t="inlineStr">
        <is>
          <t>Single Skin</t>
        </is>
      </c>
      <c r="B8" s="5" t="inlineStr">
        <is>
          <t>Estándar</t>
        </is>
      </c>
      <c r="C8" s="8" t="n">
        <v>23851</v>
      </c>
      <c r="D8" s="8" t="n">
        <v>4594</v>
      </c>
      <c r="E8" s="8" t="n">
        <v>20387</v>
      </c>
      <c r="F8" s="8" t="n">
        <v>721</v>
      </c>
      <c r="G8" s="8" t="n">
        <v>2800</v>
      </c>
      <c r="H8" s="8" t="n">
        <v>0</v>
      </c>
      <c r="I8" s="8" t="n">
        <v>1073</v>
      </c>
      <c r="J8" s="8" t="n">
        <v>2209</v>
      </c>
      <c r="K8" s="8" t="n">
        <v>1042</v>
      </c>
      <c r="L8" s="8" t="n">
        <v>0</v>
      </c>
      <c r="M8" s="8" t="n">
        <v>1343</v>
      </c>
      <c r="N8" s="8" t="n">
        <v>3251</v>
      </c>
      <c r="O8" s="10">
        <f>IF(A8="","",SUM(J8:M8))</f>
        <v/>
      </c>
      <c r="P8" s="11">
        <f>IF(OR(A8="",E8=0),"",D8/E8)</f>
        <v/>
      </c>
      <c r="Q8" s="11">
        <f>IF(OR(A8="",E8=0),"",N8/E8)</f>
        <v/>
      </c>
      <c r="R8" s="10">
        <f>IF(A8="","",N8-E8)</f>
        <v/>
      </c>
      <c r="S8" s="11">
        <f>IF(OR(A8="",F8=0),"",J8/F8)</f>
        <v/>
      </c>
      <c r="T8" s="11">
        <f>IF(OR(A8="",G8=0),"",K8/G8)</f>
        <v/>
      </c>
      <c r="U8" s="11">
        <f>IF(OR(A8="",H8=0),"",L8/H8)</f>
        <v/>
      </c>
      <c r="V8" s="11">
        <f>IF(OR(A8="",I8=0),"",M8/I8)</f>
        <v/>
      </c>
    </row>
    <row r="9">
      <c r="A9" s="5" t="inlineStr">
        <is>
          <t>Ducto</t>
        </is>
      </c>
      <c r="B9" s="5" t="inlineStr">
        <is>
          <t>Estándar</t>
        </is>
      </c>
      <c r="C9" s="8" t="n">
        <v>520</v>
      </c>
      <c r="D9" s="8" t="n">
        <v>1044</v>
      </c>
      <c r="E9" s="8" t="n">
        <v>1385</v>
      </c>
      <c r="F9" s="8" t="n">
        <v>396</v>
      </c>
      <c r="G9" s="8" t="n">
        <v>0</v>
      </c>
      <c r="H9" s="8" t="n">
        <v>520</v>
      </c>
      <c r="I9" s="8" t="n">
        <v>0</v>
      </c>
      <c r="J9" s="8" t="n">
        <v>1044</v>
      </c>
      <c r="K9" s="8" t="n">
        <v>0</v>
      </c>
      <c r="L9" s="8" t="n">
        <v>0</v>
      </c>
      <c r="M9" s="8" t="n">
        <v>0</v>
      </c>
      <c r="N9" s="8" t="n">
        <v>1044</v>
      </c>
      <c r="O9" s="10">
        <f>IF(A9="","",SUM(J9:M9))</f>
        <v/>
      </c>
      <c r="P9" s="11">
        <f>IF(OR(A9="",E9=0),"",D9/E9)</f>
        <v/>
      </c>
      <c r="Q9" s="11">
        <f>IF(OR(A9="",E9=0),"",N9/E9)</f>
        <v/>
      </c>
      <c r="R9" s="10">
        <f>IF(A9="","",N9-E9)</f>
        <v/>
      </c>
      <c r="S9" s="11">
        <f>IF(OR(A9="",F9=0),"",J9/F9)</f>
        <v/>
      </c>
      <c r="T9" s="11">
        <f>IF(OR(A9="",G9=0),"",K9/G9)</f>
        <v/>
      </c>
      <c r="U9" s="11">
        <f>IF(OR(A9="",H9=0),"",L9/H9)</f>
        <v/>
      </c>
      <c r="V9" s="11">
        <f>IF(OR(A9="",I9=0),"",M9/I9)</f>
        <v/>
      </c>
    </row>
    <row r="10">
      <c r="A10" s="5" t="inlineStr">
        <is>
          <t>Línea Arquitectónica</t>
        </is>
      </c>
      <c r="B10" s="5" t="inlineStr">
        <is>
          <t>Arquitectónica</t>
        </is>
      </c>
      <c r="C10" s="8" t="n">
        <v>718</v>
      </c>
      <c r="D10" s="8" t="n">
        <v>718</v>
      </c>
      <c r="E10" s="8" t="n">
        <v>3182</v>
      </c>
      <c r="F10" s="8" t="n">
        <v>0</v>
      </c>
      <c r="G10" s="8" t="n">
        <v>0</v>
      </c>
      <c r="H10" s="8" t="n">
        <v>0</v>
      </c>
      <c r="I10" s="8" t="n">
        <v>718</v>
      </c>
      <c r="J10" s="8" t="n">
        <v>0</v>
      </c>
      <c r="K10" s="8" t="n">
        <v>264</v>
      </c>
      <c r="L10" s="8" t="n">
        <v>0</v>
      </c>
      <c r="M10" s="8" t="n">
        <v>0</v>
      </c>
      <c r="N10" s="8" t="n">
        <v>264</v>
      </c>
      <c r="O10" s="10">
        <f>IF(A10="","",SUM(J10:M10))</f>
        <v/>
      </c>
      <c r="P10" s="11">
        <f>IF(OR(A10="",E10=0),"",D10/E10)</f>
        <v/>
      </c>
      <c r="Q10" s="11">
        <f>IF(OR(A10="",E10=0),"",N10/E10)</f>
        <v/>
      </c>
      <c r="R10" s="10">
        <f>IF(A10="","",N10-E10)</f>
        <v/>
      </c>
      <c r="S10" s="11">
        <f>IF(OR(A10="",F10=0),"",J10/F10)</f>
        <v/>
      </c>
      <c r="T10" s="11">
        <f>IF(OR(A10="",G10=0),"",K10/G10)</f>
        <v/>
      </c>
      <c r="U10" s="11">
        <f>IF(OR(A10="",H10=0),"",L10/H10)</f>
        <v/>
      </c>
      <c r="V10" s="11">
        <f>IF(OR(A10="",I10=0),"",M10/I10)</f>
        <v/>
      </c>
    </row>
    <row r="11">
      <c r="A11" s="5" t="n"/>
      <c r="B11" s="5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10">
        <f>IF(A11="","",SUM(J11:M11))</f>
        <v/>
      </c>
      <c r="P11" s="11">
        <f>IF(OR(A11="",E11=0),"",D11/E11)</f>
        <v/>
      </c>
      <c r="Q11" s="11">
        <f>IF(OR(A11="",E11=0),"",N11/E11)</f>
        <v/>
      </c>
      <c r="R11" s="10">
        <f>IF(A11="","",N11-E11)</f>
        <v/>
      </c>
      <c r="S11" s="11">
        <f>IF(OR(A11="",F11=0),"",J11/F11)</f>
        <v/>
      </c>
      <c r="T11" s="11">
        <f>IF(OR(A11="",G11=0),"",K11/G11)</f>
        <v/>
      </c>
      <c r="U11" s="11">
        <f>IF(OR(A11="",H11=0),"",L11/H11)</f>
        <v/>
      </c>
      <c r="V11" s="11">
        <f>IF(OR(A11="",I11=0),"",M11/I11)</f>
        <v/>
      </c>
    </row>
    <row r="12">
      <c r="A12" s="5" t="n"/>
      <c r="B12" s="5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10">
        <f>IF(A12="","",SUM(J12:M12))</f>
        <v/>
      </c>
      <c r="P12" s="11">
        <f>IF(OR(A12="",E12=0),"",D12/E12)</f>
        <v/>
      </c>
      <c r="Q12" s="11">
        <f>IF(OR(A12="",E12=0),"",N12/E12)</f>
        <v/>
      </c>
      <c r="R12" s="10">
        <f>IF(A12="","",N12-E12)</f>
        <v/>
      </c>
      <c r="S12" s="11">
        <f>IF(OR(A12="",F12=0),"",J12/F12)</f>
        <v/>
      </c>
      <c r="T12" s="11">
        <f>IF(OR(A12="",G12=0),"",K12/G12)</f>
        <v/>
      </c>
      <c r="U12" s="11">
        <f>IF(OR(A12="",H12=0),"",L12/H12)</f>
        <v/>
      </c>
      <c r="V12" s="11">
        <f>IF(OR(A12="",I12=0),"",M12/I12)</f>
        <v/>
      </c>
    </row>
    <row r="13">
      <c r="A13" s="5" t="n"/>
      <c r="B13" s="5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10">
        <f>IF(A13="","",SUM(J13:M13))</f>
        <v/>
      </c>
      <c r="P13" s="11">
        <f>IF(OR(A13="",E13=0),"",D13/E13)</f>
        <v/>
      </c>
      <c r="Q13" s="11">
        <f>IF(OR(A13="",E13=0),"",N13/E13)</f>
        <v/>
      </c>
      <c r="R13" s="10">
        <f>IF(A13="","",N13-E13)</f>
        <v/>
      </c>
      <c r="S13" s="11">
        <f>IF(OR(A13="",F13=0),"",J13/F13)</f>
        <v/>
      </c>
      <c r="T13" s="11">
        <f>IF(OR(A13="",G13=0),"",K13/G13)</f>
        <v/>
      </c>
      <c r="U13" s="11">
        <f>IF(OR(A13="",H13=0),"",L13/H13)</f>
        <v/>
      </c>
      <c r="V13" s="11">
        <f>IF(OR(A13="",I13=0),"",M13/I13)</f>
        <v/>
      </c>
    </row>
    <row r="14">
      <c r="A14" s="5" t="n"/>
      <c r="B14" s="5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10">
        <f>IF(A14="","",SUM(J14:M14))</f>
        <v/>
      </c>
      <c r="P14" s="11">
        <f>IF(OR(A14="",E14=0),"",D14/E14)</f>
        <v/>
      </c>
      <c r="Q14" s="11">
        <f>IF(OR(A14="",E14=0),"",N14/E14)</f>
        <v/>
      </c>
      <c r="R14" s="10">
        <f>IF(A14="","",N14-E14)</f>
        <v/>
      </c>
      <c r="S14" s="11">
        <f>IF(OR(A14="",F14=0),"",J14/F14)</f>
        <v/>
      </c>
      <c r="T14" s="11">
        <f>IF(OR(A14="",G14=0),"",K14/G14)</f>
        <v/>
      </c>
      <c r="U14" s="11">
        <f>IF(OR(A14="",H14=0),"",L14/H14)</f>
        <v/>
      </c>
      <c r="V14" s="11">
        <f>IF(OR(A14="",I14=0),"",M14/I14)</f>
        <v/>
      </c>
    </row>
    <row r="15">
      <c r="A15" s="5" t="n"/>
      <c r="B15" s="5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10">
        <f>IF(A15="","",SUM(J15:M15))</f>
        <v/>
      </c>
      <c r="P15" s="11">
        <f>IF(OR(A15="",E15=0),"",D15/E15)</f>
        <v/>
      </c>
      <c r="Q15" s="11">
        <f>IF(OR(A15="",E15=0),"",N15/E15)</f>
        <v/>
      </c>
      <c r="R15" s="10">
        <f>IF(A15="","",N15-E15)</f>
        <v/>
      </c>
      <c r="S15" s="11">
        <f>IF(OR(A15="",F15=0),"",J15/F15)</f>
        <v/>
      </c>
      <c r="T15" s="11">
        <f>IF(OR(A15="",G15=0),"",K15/G15)</f>
        <v/>
      </c>
      <c r="U15" s="11">
        <f>IF(OR(A15="",H15=0),"",L15/H15)</f>
        <v/>
      </c>
      <c r="V15" s="11">
        <f>IF(OR(A15="",I15=0),"",M15/I15)</f>
        <v/>
      </c>
    </row>
    <row r="16">
      <c r="A16" s="5" t="n"/>
      <c r="B16" s="5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10">
        <f>IF(A16="","",SUM(J16:M16))</f>
        <v/>
      </c>
      <c r="P16" s="11">
        <f>IF(OR(A16="",E16=0),"",D16/E16)</f>
        <v/>
      </c>
      <c r="Q16" s="11">
        <f>IF(OR(A16="",E16=0),"",N16/E16)</f>
        <v/>
      </c>
      <c r="R16" s="10">
        <f>IF(A16="","",N16-E16)</f>
        <v/>
      </c>
      <c r="S16" s="11">
        <f>IF(OR(A16="",F16=0),"",J16/F16)</f>
        <v/>
      </c>
      <c r="T16" s="11">
        <f>IF(OR(A16="",G16=0),"",K16/G16)</f>
        <v/>
      </c>
      <c r="U16" s="11">
        <f>IF(OR(A16="",H16=0),"",L16/H16)</f>
        <v/>
      </c>
      <c r="V16" s="11">
        <f>IF(OR(A16="",I16=0),"",M16/I16)</f>
        <v/>
      </c>
    </row>
    <row r="17">
      <c r="A17" s="5" t="n"/>
      <c r="B17" s="5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0">
        <f>IF(A17="","",SUM(J17:M17))</f>
        <v/>
      </c>
      <c r="P17" s="11">
        <f>IF(OR(A17="",E17=0),"",D17/E17)</f>
        <v/>
      </c>
      <c r="Q17" s="11">
        <f>IF(OR(A17="",E17=0),"",N17/E17)</f>
        <v/>
      </c>
      <c r="R17" s="10">
        <f>IF(A17="","",N17-E17)</f>
        <v/>
      </c>
      <c r="S17" s="11">
        <f>IF(OR(A17="",F17=0),"",J17/F17)</f>
        <v/>
      </c>
      <c r="T17" s="11">
        <f>IF(OR(A17="",G17=0),"",K17/G17)</f>
        <v/>
      </c>
      <c r="U17" s="11">
        <f>IF(OR(A17="",H17=0),"",L17/H17)</f>
        <v/>
      </c>
      <c r="V17" s="11">
        <f>IF(OR(A17="",I17=0),"",M17/I17)</f>
        <v/>
      </c>
    </row>
    <row r="18">
      <c r="A18" s="5" t="n"/>
      <c r="B18" s="5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10">
        <f>IF(A18="","",SUM(J18:M18))</f>
        <v/>
      </c>
      <c r="P18" s="11">
        <f>IF(OR(A18="",E18=0),"",D18/E18)</f>
        <v/>
      </c>
      <c r="Q18" s="11">
        <f>IF(OR(A18="",E18=0),"",N18/E18)</f>
        <v/>
      </c>
      <c r="R18" s="10">
        <f>IF(A18="","",N18-E18)</f>
        <v/>
      </c>
      <c r="S18" s="11">
        <f>IF(OR(A18="",F18=0),"",J18/F18)</f>
        <v/>
      </c>
      <c r="T18" s="11">
        <f>IF(OR(A18="",G18=0),"",K18/G18)</f>
        <v/>
      </c>
      <c r="U18" s="11">
        <f>IF(OR(A18="",H18=0),"",L18/H18)</f>
        <v/>
      </c>
      <c r="V18" s="11">
        <f>IF(OR(A18="",I18=0),"",M18/I18)</f>
        <v/>
      </c>
    </row>
    <row r="20">
      <c r="A20" s="12" t="inlineStr">
        <is>
          <t>Subtotal Premium</t>
        </is>
      </c>
      <c r="B20" s="12" t="inlineStr">
        <is>
          <t>Premium</t>
        </is>
      </c>
      <c r="C20" s="13">
        <f>SUMIF($B$5:$B$18,$B20,C$5:C$18)</f>
        <v/>
      </c>
      <c r="D20" s="13">
        <f>SUMIF($B$5:$B$18,$B20,D$5:D$18)</f>
        <v/>
      </c>
      <c r="E20" s="13">
        <f>SUMIF($B$5:$B$18,$B20,E$5:E$18)</f>
        <v/>
      </c>
      <c r="F20" s="13">
        <f>SUMIF($B$5:$B$18,$B20,F$5:F$18)</f>
        <v/>
      </c>
      <c r="G20" s="13">
        <f>SUMIF($B$5:$B$18,$B20,G$5:G$18)</f>
        <v/>
      </c>
      <c r="H20" s="13">
        <f>SUMIF($B$5:$B$18,$B20,H$5:H$18)</f>
        <v/>
      </c>
      <c r="I20" s="13">
        <f>SUMIF($B$5:$B$18,$B20,I$5:I$18)</f>
        <v/>
      </c>
      <c r="J20" s="13">
        <f>SUMIF($B$5:$B$18,$B20,J$5:J$18)</f>
        <v/>
      </c>
      <c r="K20" s="13">
        <f>SUMIF($B$5:$B$18,$B20,K$5:K$18)</f>
        <v/>
      </c>
      <c r="L20" s="13">
        <f>SUMIF($B$5:$B$18,$B20,L$5:L$18)</f>
        <v/>
      </c>
      <c r="M20" s="13">
        <f>SUMIF($B$5:$B$18,$B20,M$5:M$18)</f>
        <v/>
      </c>
      <c r="N20" s="13">
        <f>SUMIF($B$5:$B$18,$B20,N$5:N$18)</f>
        <v/>
      </c>
      <c r="O20" s="13">
        <f>SUMIF($B$5:$B$18,$B20,O$5:O$18)</f>
        <v/>
      </c>
      <c r="P20" s="14">
        <f>IF(E20=0,"",D20/E20)</f>
        <v/>
      </c>
      <c r="Q20" s="14">
        <f>IF(E20=0,"",N20/E20)</f>
        <v/>
      </c>
      <c r="R20" s="13">
        <f>N20-E20</f>
        <v/>
      </c>
      <c r="S20" s="14">
        <f>IF(F20=0,"",J20/F20)</f>
        <v/>
      </c>
      <c r="T20" s="14">
        <f>IF(G20=0,"",K20/G20)</f>
        <v/>
      </c>
      <c r="U20" s="14">
        <f>IF(H20=0,"",L20/H20)</f>
        <v/>
      </c>
      <c r="V20" s="14">
        <f>IF(I20=0,"",M20/I20)</f>
        <v/>
      </c>
    </row>
    <row r="21">
      <c r="A21" s="12" t="inlineStr">
        <is>
          <t>Subtotal Estándar</t>
        </is>
      </c>
      <c r="B21" s="12" t="inlineStr">
        <is>
          <t>Estándar</t>
        </is>
      </c>
      <c r="C21" s="13">
        <f>SUMIF($B$5:$B$18,$B21,C$5:C$18)</f>
        <v/>
      </c>
      <c r="D21" s="13">
        <f>SUMIF($B$5:$B$18,$B21,D$5:D$18)</f>
        <v/>
      </c>
      <c r="E21" s="13">
        <f>SUMIF($B$5:$B$18,$B21,E$5:E$18)</f>
        <v/>
      </c>
      <c r="F21" s="13">
        <f>SUMIF($B$5:$B$18,$B21,F$5:F$18)</f>
        <v/>
      </c>
      <c r="G21" s="13">
        <f>SUMIF($B$5:$B$18,$B21,G$5:G$18)</f>
        <v/>
      </c>
      <c r="H21" s="13">
        <f>SUMIF($B$5:$B$18,$B21,H$5:H$18)</f>
        <v/>
      </c>
      <c r="I21" s="13">
        <f>SUMIF($B$5:$B$18,$B21,I$5:I$18)</f>
        <v/>
      </c>
      <c r="J21" s="13">
        <f>SUMIF($B$5:$B$18,$B21,J$5:J$18)</f>
        <v/>
      </c>
      <c r="K21" s="13">
        <f>SUMIF($B$5:$B$18,$B21,K$5:K$18)</f>
        <v/>
      </c>
      <c r="L21" s="13">
        <f>SUMIF($B$5:$B$18,$B21,L$5:L$18)</f>
        <v/>
      </c>
      <c r="M21" s="13">
        <f>SUMIF($B$5:$B$18,$B21,M$5:M$18)</f>
        <v/>
      </c>
      <c r="N21" s="13">
        <f>SUMIF($B$5:$B$18,$B21,N$5:N$18)</f>
        <v/>
      </c>
      <c r="O21" s="13">
        <f>SUMIF($B$5:$B$18,$B21,O$5:O$18)</f>
        <v/>
      </c>
      <c r="P21" s="14">
        <f>IF(E21=0,"",D21/E21)</f>
        <v/>
      </c>
      <c r="Q21" s="14">
        <f>IF(E21=0,"",N21/E21)</f>
        <v/>
      </c>
      <c r="R21" s="13">
        <f>N21-E21</f>
        <v/>
      </c>
      <c r="S21" s="14">
        <f>IF(F21=0,"",J21/F21)</f>
        <v/>
      </c>
      <c r="T21" s="14">
        <f>IF(G21=0,"",K21/G21)</f>
        <v/>
      </c>
      <c r="U21" s="14">
        <f>IF(H21=0,"",L21/H21)</f>
        <v/>
      </c>
      <c r="V21" s="14">
        <f>IF(I21=0,"",M21/I21)</f>
        <v/>
      </c>
    </row>
    <row r="22">
      <c r="A22" s="12" t="inlineStr">
        <is>
          <t>Subtotal Arquitectónica</t>
        </is>
      </c>
      <c r="B22" s="12" t="inlineStr">
        <is>
          <t>Arquitectónica</t>
        </is>
      </c>
      <c r="C22" s="13">
        <f>SUMIF($B$5:$B$18,$B22,C$5:C$18)</f>
        <v/>
      </c>
      <c r="D22" s="13">
        <f>SUMIF($B$5:$B$18,$B22,D$5:D$18)</f>
        <v/>
      </c>
      <c r="E22" s="13">
        <f>SUMIF($B$5:$B$18,$B22,E$5:E$18)</f>
        <v/>
      </c>
      <c r="F22" s="13">
        <f>SUMIF($B$5:$B$18,$B22,F$5:F$18)</f>
        <v/>
      </c>
      <c r="G22" s="13">
        <f>SUMIF($B$5:$B$18,$B22,G$5:G$18)</f>
        <v/>
      </c>
      <c r="H22" s="13">
        <f>SUMIF($B$5:$B$18,$B22,H$5:H$18)</f>
        <v/>
      </c>
      <c r="I22" s="13">
        <f>SUMIF($B$5:$B$18,$B22,I$5:I$18)</f>
        <v/>
      </c>
      <c r="J22" s="13">
        <f>SUMIF($B$5:$B$18,$B22,J$5:J$18)</f>
        <v/>
      </c>
      <c r="K22" s="13">
        <f>SUMIF($B$5:$B$18,$B22,K$5:K$18)</f>
        <v/>
      </c>
      <c r="L22" s="13">
        <f>SUMIF($B$5:$B$18,$B22,L$5:L$18)</f>
        <v/>
      </c>
      <c r="M22" s="13">
        <f>SUMIF($B$5:$B$18,$B22,M$5:M$18)</f>
        <v/>
      </c>
      <c r="N22" s="13">
        <f>SUMIF($B$5:$B$18,$B22,N$5:N$18)</f>
        <v/>
      </c>
      <c r="O22" s="13">
        <f>SUMIF($B$5:$B$18,$B22,O$5:O$18)</f>
        <v/>
      </c>
      <c r="P22" s="14">
        <f>IF(E22=0,"",D22/E22)</f>
        <v/>
      </c>
      <c r="Q22" s="14">
        <f>IF(E22=0,"",N22/E22)</f>
        <v/>
      </c>
      <c r="R22" s="13">
        <f>N22-E22</f>
        <v/>
      </c>
      <c r="S22" s="14">
        <f>IF(F22=0,"",J22/F22)</f>
        <v/>
      </c>
      <c r="T22" s="14">
        <f>IF(G22=0,"",K22/G22)</f>
        <v/>
      </c>
      <c r="U22" s="14">
        <f>IF(H22=0,"",L22/H22)</f>
        <v/>
      </c>
      <c r="V22" s="14">
        <f>IF(I22=0,"",M22/I22)</f>
        <v/>
      </c>
    </row>
    <row r="23">
      <c r="A23" s="12" t="inlineStr">
        <is>
          <t>TOTAL</t>
        </is>
      </c>
      <c r="B23" s="12" t="inlineStr">
        <is>
          <t>TOTAL</t>
        </is>
      </c>
      <c r="C23" s="13">
        <f>SUM(C$5:C$18)</f>
        <v/>
      </c>
      <c r="D23" s="13">
        <f>SUM(D$5:D$18)</f>
        <v/>
      </c>
      <c r="E23" s="13">
        <f>SUM(E$5:E$18)</f>
        <v/>
      </c>
      <c r="F23" s="13">
        <f>SUM(F$5:F$18)</f>
        <v/>
      </c>
      <c r="G23" s="13">
        <f>SUM(G$5:G$18)</f>
        <v/>
      </c>
      <c r="H23" s="13">
        <f>SUM(H$5:H$18)</f>
        <v/>
      </c>
      <c r="I23" s="13">
        <f>SUM(I$5:I$18)</f>
        <v/>
      </c>
      <c r="J23" s="13">
        <f>SUM(J$5:J$18)</f>
        <v/>
      </c>
      <c r="K23" s="13">
        <f>SUM(K$5:K$18)</f>
        <v/>
      </c>
      <c r="L23" s="13">
        <f>SUM(L$5:L$18)</f>
        <v/>
      </c>
      <c r="M23" s="13">
        <f>SUM(M$5:M$18)</f>
        <v/>
      </c>
      <c r="N23" s="13">
        <f>SUM(N$5:N$18)</f>
        <v/>
      </c>
      <c r="O23" s="13">
        <f>SUM(O$5:O$18)</f>
        <v/>
      </c>
      <c r="P23" s="14">
        <f>IF(E23=0,"",D23/E23)</f>
        <v/>
      </c>
      <c r="Q23" s="14">
        <f>IF(E23=0,"",N23/E23)</f>
        <v/>
      </c>
      <c r="R23" s="13">
        <f>N23-E23</f>
        <v/>
      </c>
      <c r="S23" s="14">
        <f>IF(F23=0,"",J23/F23)</f>
        <v/>
      </c>
      <c r="T23" s="14">
        <f>IF(G23=0,"",K23/G23)</f>
        <v/>
      </c>
      <c r="U23" s="14">
        <f>IF(H23=0,"",L23/H23)</f>
        <v/>
      </c>
      <c r="V23" s="14">
        <f>IF(I23=0,"",M23/I23)</f>
        <v/>
      </c>
    </row>
  </sheetData>
  <conditionalFormatting sqref="P5:V23">
    <cfRule type="cellIs" priority="1" operator="equal" dxfId="0">
      <formula>""</formula>
    </cfRule>
    <cfRule type="cellIs" priority="2" operator="greaterThanOrEqual" dxfId="1">
      <formula>Config!$B$8</formula>
    </cfRule>
    <cfRule type="cellIs" priority="3" operator="greaterThanOrEqual" dxfId="2">
      <formula>Config!$B$9</formula>
    </cfRule>
    <cfRule type="cellIs" priority="4" operator="lessThan" dxfId="3">
      <formula>Config!$B$9</formula>
    </cfRule>
  </conditionalFormatting>
  <dataValidations count="1">
    <dataValidation sqref="B5 B6 B7 B8 B9 B10 B11 B12 B13 B14 B15 B16 B17 B18" showDropDown="0" showInputMessage="0" showErrorMessage="0" allowBlank="1" type="list">
      <formula1>"Premium,Estándar,Arquitectónica"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8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13" customWidth="1" min="9" max="9"/>
    <col width="12" customWidth="1" min="10" max="10"/>
  </cols>
  <sheetData>
    <row r="1">
      <c r="A1" s="1" t="inlineStr">
        <is>
          <t>Revenue (COP) por línea — F'cast del mes</t>
        </is>
      </c>
    </row>
    <row r="2">
      <c r="A2" s="2" t="inlineStr">
        <is>
          <t>Precio promedio = Revenue / cantidad · % Performance contra Budget en cantidad o, si no hay, contra Budget en COP</t>
        </is>
      </c>
    </row>
    <row r="4" ht="32" customHeight="1">
      <c r="A4" s="9" t="inlineStr">
        <is>
          <t>Línea</t>
        </is>
      </c>
      <c r="B4" s="9" t="inlineStr">
        <is>
          <t>Grupo</t>
        </is>
      </c>
      <c r="C4" s="9" t="inlineStr">
        <is>
          <t>Unidad</t>
        </is>
      </c>
      <c r="D4" s="9" t="inlineStr">
        <is>
          <t>Cantidad F'cast</t>
        </is>
      </c>
      <c r="E4" s="9" t="inlineStr">
        <is>
          <t>Revenue F'cast (COP)</t>
        </is>
      </c>
      <c r="F4" s="9" t="inlineStr">
        <is>
          <t>Budget cantidad</t>
        </is>
      </c>
      <c r="G4" s="9" t="inlineStr">
        <is>
          <t>Budget Revenue (COP)</t>
        </is>
      </c>
      <c r="H4" s="9" t="inlineStr">
        <is>
          <t>Precio promedio</t>
        </is>
      </c>
      <c r="I4" s="9" t="inlineStr">
        <is>
          <t>% Performance</t>
        </is>
      </c>
      <c r="J4" s="9" t="inlineStr">
        <is>
          <t>% Mix Revenue</t>
        </is>
      </c>
    </row>
    <row r="5">
      <c r="A5" s="5" t="inlineStr">
        <is>
          <t>Envolventes</t>
        </is>
      </c>
      <c r="B5" s="5" t="inlineStr">
        <is>
          <t>Premium</t>
        </is>
      </c>
      <c r="C5" s="5" t="inlineStr">
        <is>
          <t>m²</t>
        </is>
      </c>
      <c r="D5" s="8" t="n">
        <v>83329</v>
      </c>
      <c r="E5" s="15" t="n">
        <v>9169606489</v>
      </c>
      <c r="F5" s="8" t="n">
        <v>91536</v>
      </c>
      <c r="G5" s="15" t="n"/>
      <c r="H5" s="16">
        <f>IF(OR(A5="",N(D5)=0),"",E5/D5)</f>
        <v/>
      </c>
      <c r="I5" s="11">
        <f>IF(A5="","",IF(N(F5)&gt;0,D5/F5,IF(N(G5)&gt;0,E5/G5,"")))</f>
        <v/>
      </c>
      <c r="J5" s="11">
        <f>IF(A5="","",E5/$E$29)</f>
        <v/>
      </c>
    </row>
    <row r="6">
      <c r="A6" s="5" t="inlineStr">
        <is>
          <t>Refrigeración</t>
        </is>
      </c>
      <c r="B6" s="5" t="inlineStr">
        <is>
          <t>Premium</t>
        </is>
      </c>
      <c r="C6" s="5" t="inlineStr">
        <is>
          <t>m²</t>
        </is>
      </c>
      <c r="D6" s="8" t="n">
        <v>41293</v>
      </c>
      <c r="E6" s="15" t="n">
        <v>4478225850</v>
      </c>
      <c r="F6" s="8" t="n">
        <v>43141</v>
      </c>
      <c r="G6" s="15" t="n"/>
      <c r="H6" s="16">
        <f>IF(OR(A6="",N(D6)=0),"",E6/D6)</f>
        <v/>
      </c>
      <c r="I6" s="11">
        <f>IF(A6="","",IF(N(F6)&gt;0,D6/F6,IF(N(G6)&gt;0,E6/G6,"")))</f>
        <v/>
      </c>
      <c r="J6" s="11">
        <f>IF(A6="","",E6/$E$29)</f>
        <v/>
      </c>
    </row>
    <row r="7">
      <c r="A7" s="5" t="inlineStr">
        <is>
          <t>KingCore</t>
        </is>
      </c>
      <c r="B7" s="5" t="inlineStr">
        <is>
          <t>Estándar</t>
        </is>
      </c>
      <c r="C7" s="5" t="inlineStr">
        <is>
          <t>m²</t>
        </is>
      </c>
      <c r="D7" s="8" t="n">
        <v>25931</v>
      </c>
      <c r="E7" s="15" t="n">
        <v>836015895</v>
      </c>
      <c r="F7" s="8" t="n">
        <v>27974</v>
      </c>
      <c r="G7" s="15" t="n"/>
      <c r="H7" s="16">
        <f>IF(OR(A7="",N(D7)=0),"",E7/D7)</f>
        <v/>
      </c>
      <c r="I7" s="11">
        <f>IF(A7="","",IF(N(F7)&gt;0,D7/F7,IF(N(G7)&gt;0,E7/G7,"")))</f>
        <v/>
      </c>
      <c r="J7" s="11">
        <f>IF(A7="","",E7/$E$29)</f>
        <v/>
      </c>
    </row>
    <row r="8">
      <c r="A8" s="5" t="inlineStr">
        <is>
          <t>Single Skin</t>
        </is>
      </c>
      <c r="B8" s="5" t="inlineStr">
        <is>
          <t>Estándar</t>
        </is>
      </c>
      <c r="C8" s="5" t="inlineStr">
        <is>
          <t>m²</t>
        </is>
      </c>
      <c r="D8" s="8" t="n">
        <v>4594</v>
      </c>
      <c r="E8" s="15" t="n">
        <v>103998996</v>
      </c>
      <c r="F8" s="8" t="n">
        <v>20387</v>
      </c>
      <c r="G8" s="15" t="n"/>
      <c r="H8" s="16">
        <f>IF(OR(A8="",N(D8)=0),"",E8/D8)</f>
        <v/>
      </c>
      <c r="I8" s="11">
        <f>IF(A8="","",IF(N(F8)&gt;0,D8/F8,IF(N(G8)&gt;0,E8/G8,"")))</f>
        <v/>
      </c>
      <c r="J8" s="11">
        <f>IF(A8="","",E8/$E$29)</f>
        <v/>
      </c>
    </row>
    <row r="9">
      <c r="A9" s="5" t="inlineStr">
        <is>
          <t>Ducto</t>
        </is>
      </c>
      <c r="B9" s="5" t="inlineStr">
        <is>
          <t>Estándar</t>
        </is>
      </c>
      <c r="C9" s="5" t="inlineStr">
        <is>
          <t>m²</t>
        </is>
      </c>
      <c r="D9" s="8" t="n">
        <v>1044</v>
      </c>
      <c r="E9" s="15" t="n">
        <v>52372800</v>
      </c>
      <c r="F9" s="8" t="n">
        <v>1385</v>
      </c>
      <c r="G9" s="15" t="n"/>
      <c r="H9" s="16">
        <f>IF(OR(A9="",N(D9)=0),"",E9/D9)</f>
        <v/>
      </c>
      <c r="I9" s="11">
        <f>IF(A9="","",IF(N(F9)&gt;0,D9/F9,IF(N(G9)&gt;0,E9/G9,"")))</f>
        <v/>
      </c>
      <c r="J9" s="11">
        <f>IF(A9="","",E9/$E$29)</f>
        <v/>
      </c>
    </row>
    <row r="10">
      <c r="A10" s="5" t="inlineStr">
        <is>
          <t>Traslúcida</t>
        </is>
      </c>
      <c r="B10" s="5" t="inlineStr">
        <is>
          <t>Estándar</t>
        </is>
      </c>
      <c r="C10" s="5" t="inlineStr">
        <is>
          <t>m²</t>
        </is>
      </c>
      <c r="D10" s="8" t="n">
        <v>2155</v>
      </c>
      <c r="E10" s="15" t="n">
        <v>573520000</v>
      </c>
      <c r="F10" s="8" t="n"/>
      <c r="G10" s="15" t="n"/>
      <c r="H10" s="16">
        <f>IF(OR(A10="",N(D10)=0),"",E10/D10)</f>
        <v/>
      </c>
      <c r="I10" s="11">
        <f>IF(A10="","",IF(N(F10)&gt;0,D10/F10,IF(N(G10)&gt;0,E10/G10,"")))</f>
        <v/>
      </c>
      <c r="J10" s="11">
        <f>IF(A10="","",E10/$E$29)</f>
        <v/>
      </c>
    </row>
    <row r="11">
      <c r="A11" s="5" t="inlineStr">
        <is>
          <t>Línea Arquitectónica</t>
        </is>
      </c>
      <c r="B11" s="5" t="inlineStr">
        <is>
          <t>Arquitectónica</t>
        </is>
      </c>
      <c r="C11" s="5" t="inlineStr">
        <is>
          <t>m²</t>
        </is>
      </c>
      <c r="D11" s="8" t="n">
        <v>264</v>
      </c>
      <c r="E11" s="15" t="n">
        <v>20500000</v>
      </c>
      <c r="F11" s="8" t="n">
        <v>3182</v>
      </c>
      <c r="G11" s="15" t="n"/>
      <c r="H11" s="16">
        <f>IF(OR(A11="",N(D11)=0),"",E11/D11)</f>
        <v/>
      </c>
      <c r="I11" s="11">
        <f>IF(A11="","",IF(N(F11)&gt;0,D11/F11,IF(N(G11)&gt;0,E11/G11,"")))</f>
        <v/>
      </c>
      <c r="J11" s="11">
        <f>IF(A11="","",E11/$E$29)</f>
        <v/>
      </c>
    </row>
    <row r="12">
      <c r="A12" s="5" t="inlineStr">
        <is>
          <t>Proyectos</t>
        </is>
      </c>
      <c r="B12" s="5" t="inlineStr">
        <is>
          <t>Proyectos</t>
        </is>
      </c>
      <c r="C12" s="5" t="inlineStr">
        <is>
          <t>—</t>
        </is>
      </c>
      <c r="D12" s="8" t="n"/>
      <c r="E12" s="15" t="n">
        <v>328000000</v>
      </c>
      <c r="F12" s="8" t="n"/>
      <c r="G12" s="15" t="n">
        <v>533000000</v>
      </c>
      <c r="H12" s="16">
        <f>IF(OR(A12="",N(D12)=0),"",E12/D12)</f>
        <v/>
      </c>
      <c r="I12" s="11">
        <f>IF(A12="","",IF(N(F12)&gt;0,D12/F12,IF(N(G12)&gt;0,E12/G12,"")))</f>
        <v/>
      </c>
      <c r="J12" s="11">
        <f>IF(A12="","",E12/$E$29)</f>
        <v/>
      </c>
    </row>
    <row r="13">
      <c r="A13" s="5" t="inlineStr">
        <is>
          <t>Fijaciones y Accesorios</t>
        </is>
      </c>
      <c r="B13" s="5" t="inlineStr">
        <is>
          <t>Accesorios</t>
        </is>
      </c>
      <c r="C13" s="5" t="inlineStr">
        <is>
          <t>—</t>
        </is>
      </c>
      <c r="D13" s="8" t="n"/>
      <c r="E13" s="15" t="n">
        <v>1007000000</v>
      </c>
      <c r="F13" s="8" t="n"/>
      <c r="G13" s="15" t="n"/>
      <c r="H13" s="16">
        <f>IF(OR(A13="",N(D13)=0),"",E13/D13)</f>
        <v/>
      </c>
      <c r="I13" s="11">
        <f>IF(A13="","",IF(N(F13)&gt;0,D13/F13,IF(N(G13)&gt;0,E13/G13,"")))</f>
        <v/>
      </c>
      <c r="J13" s="11">
        <f>IF(A13="","",E13/$E$29)</f>
        <v/>
      </c>
    </row>
    <row r="14">
      <c r="A14" s="5" t="inlineStr">
        <is>
          <t>Consumibles</t>
        </is>
      </c>
      <c r="B14" s="5" t="inlineStr">
        <is>
          <t>Accesorios</t>
        </is>
      </c>
      <c r="C14" s="5" t="inlineStr">
        <is>
          <t>—</t>
        </is>
      </c>
      <c r="D14" s="8" t="n"/>
      <c r="E14" s="15" t="n">
        <v>0</v>
      </c>
      <c r="F14" s="8" t="n"/>
      <c r="G14" s="15" t="n"/>
      <c r="H14" s="16">
        <f>IF(OR(A14="",N(D14)=0),"",E14/D14)</f>
        <v/>
      </c>
      <c r="I14" s="11">
        <f>IF(A14="","",IF(N(F14)&gt;0,D14/F14,IF(N(G14)&gt;0,E14/G14,"")))</f>
        <v/>
      </c>
      <c r="J14" s="11">
        <f>IF(A14="","",E14/$E$29)</f>
        <v/>
      </c>
    </row>
    <row r="15">
      <c r="A15" s="5" t="inlineStr">
        <is>
          <t>Puertas</t>
        </is>
      </c>
      <c r="B15" s="5" t="inlineStr">
        <is>
          <t>Puertas</t>
        </is>
      </c>
      <c r="C15" s="5" t="inlineStr">
        <is>
          <t>und</t>
        </is>
      </c>
      <c r="D15" s="8" t="n">
        <v>17</v>
      </c>
      <c r="E15" s="15" t="n">
        <v>83050000</v>
      </c>
      <c r="F15" s="8" t="n"/>
      <c r="G15" s="15" t="n"/>
      <c r="H15" s="16">
        <f>IF(OR(A15="",N(D15)=0),"",E15/D15)</f>
        <v/>
      </c>
      <c r="I15" s="11">
        <f>IF(A15="","",IF(N(F15)&gt;0,D15/F15,IF(N(G15)&gt;0,E15/G15,"")))</f>
        <v/>
      </c>
      <c r="J15" s="11">
        <f>IF(A15="","",E15/$E$29)</f>
        <v/>
      </c>
    </row>
    <row r="16">
      <c r="A16" s="5" t="inlineStr">
        <is>
          <t>Facturación ICO</t>
        </is>
      </c>
      <c r="B16" s="5" t="inlineStr">
        <is>
          <t>ICO</t>
        </is>
      </c>
      <c r="C16" s="5" t="inlineStr">
        <is>
          <t>—</t>
        </is>
      </c>
      <c r="D16" s="8" t="n"/>
      <c r="E16" s="15" t="n">
        <v>1251189846</v>
      </c>
      <c r="F16" s="8" t="n"/>
      <c r="G16" s="15" t="n"/>
      <c r="H16" s="16">
        <f>IF(OR(A16="",N(D16)=0),"",E16/D16)</f>
        <v/>
      </c>
      <c r="I16" s="11">
        <f>IF(A16="","",IF(N(F16)&gt;0,D16/F16,IF(N(G16)&gt;0,E16/G16,"")))</f>
        <v/>
      </c>
      <c r="J16" s="11">
        <f>IF(A16="","",E16/$E$29)</f>
        <v/>
      </c>
    </row>
    <row r="17">
      <c r="A17" s="5" t="n"/>
      <c r="B17" s="5" t="n"/>
      <c r="C17" s="5" t="n"/>
      <c r="D17" s="8" t="n"/>
      <c r="E17" s="15" t="n"/>
      <c r="F17" s="8" t="n"/>
      <c r="G17" s="15" t="n"/>
      <c r="H17" s="16">
        <f>IF(OR(A17="",N(D17)=0),"",E17/D17)</f>
        <v/>
      </c>
      <c r="I17" s="11">
        <f>IF(A17="","",IF(N(F17)&gt;0,D17/F17,IF(N(G17)&gt;0,E17/G17,"")))</f>
        <v/>
      </c>
      <c r="J17" s="11">
        <f>IF(A17="","",E17/$E$29)</f>
        <v/>
      </c>
    </row>
    <row r="18">
      <c r="A18" s="5" t="n"/>
      <c r="B18" s="5" t="n"/>
      <c r="C18" s="5" t="n"/>
      <c r="D18" s="8" t="n"/>
      <c r="E18" s="15" t="n"/>
      <c r="F18" s="8" t="n"/>
      <c r="G18" s="15" t="n"/>
      <c r="H18" s="16">
        <f>IF(OR(A18="",N(D18)=0),"",E18/D18)</f>
        <v/>
      </c>
      <c r="I18" s="11">
        <f>IF(A18="","",IF(N(F18)&gt;0,D18/F18,IF(N(G18)&gt;0,E18/G18,"")))</f>
        <v/>
      </c>
      <c r="J18" s="11">
        <f>IF(A18="","",E18/$E$29)</f>
        <v/>
      </c>
    </row>
    <row r="19">
      <c r="A19" s="5" t="n"/>
      <c r="B19" s="5" t="n"/>
      <c r="C19" s="5" t="n"/>
      <c r="D19" s="8" t="n"/>
      <c r="E19" s="15" t="n"/>
      <c r="F19" s="8" t="n"/>
      <c r="G19" s="15" t="n"/>
      <c r="H19" s="16">
        <f>IF(OR(A19="",N(D19)=0),"",E19/D19)</f>
        <v/>
      </c>
      <c r="I19" s="11">
        <f>IF(A19="","",IF(N(F19)&gt;0,D19/F19,IF(N(G19)&gt;0,E19/G19,"")))</f>
        <v/>
      </c>
      <c r="J19" s="11">
        <f>IF(A19="","",E19/$E$29)</f>
        <v/>
      </c>
    </row>
    <row r="20">
      <c r="A20" s="5" t="n"/>
      <c r="B20" s="5" t="n"/>
      <c r="C20" s="5" t="n"/>
      <c r="D20" s="8" t="n"/>
      <c r="E20" s="15" t="n"/>
      <c r="F20" s="8" t="n"/>
      <c r="G20" s="15" t="n"/>
      <c r="H20" s="16">
        <f>IF(OR(A20="",N(D20)=0),"",E20/D20)</f>
        <v/>
      </c>
      <c r="I20" s="11">
        <f>IF(A20="","",IF(N(F20)&gt;0,D20/F20,IF(N(G20)&gt;0,E20/G20,"")))</f>
        <v/>
      </c>
      <c r="J20" s="11">
        <f>IF(A20="","",E20/$E$29)</f>
        <v/>
      </c>
    </row>
    <row r="22">
      <c r="A22" s="12" t="inlineStr">
        <is>
          <t>Subtotal Premium</t>
        </is>
      </c>
      <c r="B22" s="12" t="inlineStr">
        <is>
          <t>Premium</t>
        </is>
      </c>
      <c r="C22" s="17" t="inlineStr"/>
      <c r="D22" s="13">
        <f>SUMIF($B$5:$B$20,$B22,D$5:D$20)</f>
        <v/>
      </c>
      <c r="E22" s="18">
        <f>SUMIF($B$5:$B$20,$B22,E$5:E$20)</f>
        <v/>
      </c>
      <c r="F22" s="13">
        <f>SUMIF($B$5:$B$20,$B22,F$5:F$20)</f>
        <v/>
      </c>
      <c r="G22" s="18">
        <f>SUMIF($B$5:$B$20,$B22,G$5:G$20)</f>
        <v/>
      </c>
      <c r="H22" s="18">
        <f>IF(D22=0,"",E22/D22)</f>
        <v/>
      </c>
      <c r="I22" s="14">
        <f>IF(F22&gt;0,SUMIFS($D$5:$D$20,$B$5:$B$20,$B22,$F$5:$F$20,"&gt;0")/F22,IF(G22&gt;0,E22/G22,""))</f>
        <v/>
      </c>
      <c r="J22" s="14">
        <f>E22/$E$29</f>
        <v/>
      </c>
    </row>
    <row r="23">
      <c r="A23" s="12" t="inlineStr">
        <is>
          <t>Subtotal Estándar</t>
        </is>
      </c>
      <c r="B23" s="12" t="inlineStr">
        <is>
          <t>Estándar</t>
        </is>
      </c>
      <c r="C23" s="17" t="inlineStr"/>
      <c r="D23" s="13">
        <f>SUMIF($B$5:$B$20,$B23,D$5:D$20)</f>
        <v/>
      </c>
      <c r="E23" s="18">
        <f>SUMIF($B$5:$B$20,$B23,E$5:E$20)</f>
        <v/>
      </c>
      <c r="F23" s="13">
        <f>SUMIF($B$5:$B$20,$B23,F$5:F$20)</f>
        <v/>
      </c>
      <c r="G23" s="18">
        <f>SUMIF($B$5:$B$20,$B23,G$5:G$20)</f>
        <v/>
      </c>
      <c r="H23" s="18">
        <f>IF(D23=0,"",E23/D23)</f>
        <v/>
      </c>
      <c r="I23" s="14">
        <f>IF(F23&gt;0,SUMIFS($D$5:$D$20,$B$5:$B$20,$B23,$F$5:$F$20,"&gt;0")/F23,IF(G23&gt;0,E23/G23,""))</f>
        <v/>
      </c>
      <c r="J23" s="14">
        <f>E23/$E$29</f>
        <v/>
      </c>
    </row>
    <row r="24">
      <c r="A24" s="12" t="inlineStr">
        <is>
          <t>Subtotal Arquitectónica</t>
        </is>
      </c>
      <c r="B24" s="12" t="inlineStr">
        <is>
          <t>Arquitectónica</t>
        </is>
      </c>
      <c r="C24" s="17" t="inlineStr"/>
      <c r="D24" s="13">
        <f>SUMIF($B$5:$B$20,$B24,D$5:D$20)</f>
        <v/>
      </c>
      <c r="E24" s="18">
        <f>SUMIF($B$5:$B$20,$B24,E$5:E$20)</f>
        <v/>
      </c>
      <c r="F24" s="13">
        <f>SUMIF($B$5:$B$20,$B24,F$5:F$20)</f>
        <v/>
      </c>
      <c r="G24" s="18">
        <f>SUMIF($B$5:$B$20,$B24,G$5:G$20)</f>
        <v/>
      </c>
      <c r="H24" s="18">
        <f>IF(D24=0,"",E24/D24)</f>
        <v/>
      </c>
      <c r="I24" s="14">
        <f>IF(F24&gt;0,SUMIFS($D$5:$D$20,$B$5:$B$20,$B24,$F$5:$F$20,"&gt;0")/F24,IF(G24&gt;0,E24/G24,""))</f>
        <v/>
      </c>
      <c r="J24" s="14">
        <f>E24/$E$29</f>
        <v/>
      </c>
    </row>
    <row r="25">
      <c r="A25" s="12" t="inlineStr">
        <is>
          <t>Subtotal Proyectos</t>
        </is>
      </c>
      <c r="B25" s="12" t="inlineStr">
        <is>
          <t>Proyectos</t>
        </is>
      </c>
      <c r="C25" s="17" t="inlineStr"/>
      <c r="D25" s="13">
        <f>SUMIF($B$5:$B$20,$B25,D$5:D$20)</f>
        <v/>
      </c>
      <c r="E25" s="18">
        <f>SUMIF($B$5:$B$20,$B25,E$5:E$20)</f>
        <v/>
      </c>
      <c r="F25" s="13">
        <f>SUMIF($B$5:$B$20,$B25,F$5:F$20)</f>
        <v/>
      </c>
      <c r="G25" s="18">
        <f>SUMIF($B$5:$B$20,$B25,G$5:G$20)</f>
        <v/>
      </c>
      <c r="H25" s="18">
        <f>IF(D25=0,"",E25/D25)</f>
        <v/>
      </c>
      <c r="I25" s="14">
        <f>IF(F25&gt;0,SUMIFS($D$5:$D$20,$B$5:$B$20,$B25,$F$5:$F$20,"&gt;0")/F25,IF(G25&gt;0,E25/G25,""))</f>
        <v/>
      </c>
      <c r="J25" s="14">
        <f>E25/$E$29</f>
        <v/>
      </c>
    </row>
    <row r="26">
      <c r="A26" s="12" t="inlineStr">
        <is>
          <t>Subtotal Accesorios</t>
        </is>
      </c>
      <c r="B26" s="12" t="inlineStr">
        <is>
          <t>Accesorios</t>
        </is>
      </c>
      <c r="C26" s="17" t="inlineStr"/>
      <c r="D26" s="13">
        <f>SUMIF($B$5:$B$20,$B26,D$5:D$20)</f>
        <v/>
      </c>
      <c r="E26" s="18">
        <f>SUMIF($B$5:$B$20,$B26,E$5:E$20)</f>
        <v/>
      </c>
      <c r="F26" s="13">
        <f>SUMIF($B$5:$B$20,$B26,F$5:F$20)</f>
        <v/>
      </c>
      <c r="G26" s="18">
        <f>SUMIF($B$5:$B$20,$B26,G$5:G$20)</f>
        <v/>
      </c>
      <c r="H26" s="18">
        <f>IF(D26=0,"",E26/D26)</f>
        <v/>
      </c>
      <c r="I26" s="14">
        <f>IF(F26&gt;0,SUMIFS($D$5:$D$20,$B$5:$B$20,$B26,$F$5:$F$20,"&gt;0")/F26,IF(G26&gt;0,E26/G26,""))</f>
        <v/>
      </c>
      <c r="J26" s="14">
        <f>E26/$E$29</f>
        <v/>
      </c>
    </row>
    <row r="27">
      <c r="A27" s="12" t="inlineStr">
        <is>
          <t>Subtotal Puertas</t>
        </is>
      </c>
      <c r="B27" s="12" t="inlineStr">
        <is>
          <t>Puertas</t>
        </is>
      </c>
      <c r="C27" s="17" t="inlineStr"/>
      <c r="D27" s="13">
        <f>SUMIF($B$5:$B$20,$B27,D$5:D$20)</f>
        <v/>
      </c>
      <c r="E27" s="18">
        <f>SUMIF($B$5:$B$20,$B27,E$5:E$20)</f>
        <v/>
      </c>
      <c r="F27" s="13">
        <f>SUMIF($B$5:$B$20,$B27,F$5:F$20)</f>
        <v/>
      </c>
      <c r="G27" s="18">
        <f>SUMIF($B$5:$B$20,$B27,G$5:G$20)</f>
        <v/>
      </c>
      <c r="H27" s="18">
        <f>IF(D27=0,"",E27/D27)</f>
        <v/>
      </c>
      <c r="I27" s="14">
        <f>IF(F27&gt;0,SUMIFS($D$5:$D$20,$B$5:$B$20,$B27,$F$5:$F$20,"&gt;0")/F27,IF(G27&gt;0,E27/G27,""))</f>
        <v/>
      </c>
      <c r="J27" s="14">
        <f>E27/$E$29</f>
        <v/>
      </c>
    </row>
    <row r="28">
      <c r="A28" s="12" t="inlineStr">
        <is>
          <t>Subtotal ICO</t>
        </is>
      </c>
      <c r="B28" s="12" t="inlineStr">
        <is>
          <t>ICO</t>
        </is>
      </c>
      <c r="C28" s="17" t="inlineStr"/>
      <c r="D28" s="13">
        <f>SUMIF($B$5:$B$20,$B28,D$5:D$20)</f>
        <v/>
      </c>
      <c r="E28" s="18">
        <f>SUMIF($B$5:$B$20,$B28,E$5:E$20)</f>
        <v/>
      </c>
      <c r="F28" s="13">
        <f>SUMIF($B$5:$B$20,$B28,F$5:F$20)</f>
        <v/>
      </c>
      <c r="G28" s="18">
        <f>SUMIF($B$5:$B$20,$B28,G$5:G$20)</f>
        <v/>
      </c>
      <c r="H28" s="18">
        <f>IF(D28=0,"",E28/D28)</f>
        <v/>
      </c>
      <c r="I28" s="14">
        <f>IF(F28&gt;0,SUMIFS($D$5:$D$20,$B$5:$B$20,$B28,$F$5:$F$20,"&gt;0")/F28,IF(G28&gt;0,E28/G28,""))</f>
        <v/>
      </c>
      <c r="J28" s="14">
        <f>E28/$E$29</f>
        <v/>
      </c>
    </row>
    <row r="29">
      <c r="A29" s="12" t="inlineStr">
        <is>
          <t>TOTAL F'cast (incl. ICO)</t>
        </is>
      </c>
      <c r="B29" s="12" t="inlineStr">
        <is>
          <t>TOTAL</t>
        </is>
      </c>
      <c r="C29" s="17" t="inlineStr"/>
      <c r="D29" s="13" t="inlineStr"/>
      <c r="E29" s="18">
        <f>SUM(E$5:E$20)</f>
        <v/>
      </c>
      <c r="F29" s="13" t="inlineStr"/>
      <c r="G29" s="18">
        <f>SUM(G$5:G$20)</f>
        <v/>
      </c>
      <c r="H29" s="18" t="inlineStr"/>
      <c r="I29" s="14" t="inlineStr"/>
      <c r="J29" s="14">
        <f>E29/$E$29</f>
        <v/>
      </c>
    </row>
  </sheetData>
  <conditionalFormatting sqref="I5:I28">
    <cfRule type="cellIs" priority="1" operator="equal" dxfId="0">
      <formula>""</formula>
    </cfRule>
    <cfRule type="cellIs" priority="2" operator="greaterThanOrEqual" dxfId="1">
      <formula>Config!$B$8</formula>
    </cfRule>
    <cfRule type="cellIs" priority="3" operator="greaterThanOrEqual" dxfId="2">
      <formula>Config!$B$9</formula>
    </cfRule>
    <cfRule type="cellIs" priority="4" operator="lessThan" dxfId="3">
      <formula>Config!$B$9</formula>
    </cfRule>
  </conditionalFormatting>
  <dataValidations count="1">
    <dataValidation sqref="B5 B6 B7 B8 B9 B10 B11 B12 B13 B14 B15 B16 B17 B18 B19 B20" showDropDown="0" showInputMessage="0" showErrorMessage="0" allowBlank="1" type="list">
      <formula1>"Premium,Estándar,Arquitectónica,Proyectos,Accesorios,Puertas,ICO,Otros"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12" customWidth="1" min="5" max="5"/>
    <col width="13" customWidth="1" min="6" max="6"/>
    <col width="16" customWidth="1" min="7" max="7"/>
    <col width="15" customWidth="1" min="8" max="8"/>
    <col width="15" customWidth="1" min="9" max="9"/>
  </cols>
  <sheetData>
    <row r="1">
      <c r="A1" s="1" t="inlineStr">
        <is>
          <t>Order Intake semanal — Budget vs negocios ganados (m² adjudicados)</t>
        </is>
      </c>
    </row>
    <row r="2">
      <c r="A2" s="2" t="inlineStr">
        <is>
          <t>Budget semanal sugerido = Budget mes / N° semanas (Config). Estado: Cerrada / En curso / Proyectada</t>
        </is>
      </c>
    </row>
    <row r="4" ht="32" customHeight="1">
      <c r="A4" s="9" t="inlineStr">
        <is>
          <t>Semana</t>
        </is>
      </c>
      <c r="B4" s="9" t="inlineStr">
        <is>
          <t>Budget (m²)</t>
        </is>
      </c>
      <c r="C4" s="9" t="inlineStr">
        <is>
          <t>Real ganado (m²)</t>
        </is>
      </c>
      <c r="D4" s="9" t="inlineStr">
        <is>
          <t>Estado</t>
        </is>
      </c>
      <c r="E4" s="9" t="inlineStr">
        <is>
          <t>Gap (m²)</t>
        </is>
      </c>
      <c r="F4" s="9" t="inlineStr">
        <is>
          <t>Cumplimiento</t>
        </is>
      </c>
      <c r="G4" s="9" t="inlineStr">
        <is>
          <t>Budget acumulado</t>
        </is>
      </c>
      <c r="H4" s="9" t="inlineStr">
        <is>
          <t>Real acumulado</t>
        </is>
      </c>
      <c r="I4" s="9" t="inlineStr">
        <is>
          <t>Cumpl. acumulado</t>
        </is>
      </c>
    </row>
    <row r="5">
      <c r="A5" s="5" t="inlineStr">
        <is>
          <t>W1</t>
        </is>
      </c>
      <c r="B5" s="8" t="n">
        <v>36930</v>
      </c>
      <c r="C5" s="8" t="n">
        <v>25901</v>
      </c>
      <c r="D5" s="5" t="inlineStr">
        <is>
          <t>Cerrada</t>
        </is>
      </c>
      <c r="E5" s="10">
        <f>IF(OR(B5="",C5=""),"",C5-B5)</f>
        <v/>
      </c>
      <c r="F5" s="11">
        <f>IF(OR(N(B5)=0,C5=""),"",C5/B5)</f>
        <v/>
      </c>
      <c r="G5" s="10">
        <f>IF(B5="","",SUM($B$5:B5))</f>
        <v/>
      </c>
      <c r="H5" s="10">
        <f>IF(C5="","",SUM($C$5:C5))</f>
        <v/>
      </c>
      <c r="I5" s="11">
        <f>IF(OR(G5="",H5=""),"",H5/G5)</f>
        <v/>
      </c>
    </row>
    <row r="6">
      <c r="A6" s="5" t="inlineStr">
        <is>
          <t>W2</t>
        </is>
      </c>
      <c r="B6" s="8" t="n">
        <v>36930</v>
      </c>
      <c r="C6" s="8" t="n">
        <v>41491</v>
      </c>
      <c r="D6" s="5" t="inlineStr">
        <is>
          <t>Cerrada</t>
        </is>
      </c>
      <c r="E6" s="10">
        <f>IF(OR(B6="",C6=""),"",C6-B6)</f>
        <v/>
      </c>
      <c r="F6" s="11">
        <f>IF(OR(N(B6)=0,C6=""),"",C6/B6)</f>
        <v/>
      </c>
      <c r="G6" s="10">
        <f>IF(B6="","",SUM($B$5:B6))</f>
        <v/>
      </c>
      <c r="H6" s="10">
        <f>IF(C6="","",SUM($C$5:C6))</f>
        <v/>
      </c>
      <c r="I6" s="11">
        <f>IF(OR(G6="",H6=""),"",H6/G6)</f>
        <v/>
      </c>
    </row>
    <row r="7">
      <c r="A7" s="5" t="inlineStr">
        <is>
          <t>W3</t>
        </is>
      </c>
      <c r="B7" s="8" t="n">
        <v>36930</v>
      </c>
      <c r="C7" s="8" t="n">
        <v>45187</v>
      </c>
      <c r="D7" s="5" t="inlineStr">
        <is>
          <t>Cerrada</t>
        </is>
      </c>
      <c r="E7" s="10">
        <f>IF(OR(B7="",C7=""),"",C7-B7)</f>
        <v/>
      </c>
      <c r="F7" s="11">
        <f>IF(OR(N(B7)=0,C7=""),"",C7/B7)</f>
        <v/>
      </c>
      <c r="G7" s="10">
        <f>IF(B7="","",SUM($B$5:B7))</f>
        <v/>
      </c>
      <c r="H7" s="10">
        <f>IF(C7="","",SUM($C$5:C7))</f>
        <v/>
      </c>
      <c r="I7" s="11">
        <f>IF(OR(G7="",H7=""),"",H7/G7)</f>
        <v/>
      </c>
    </row>
    <row r="8">
      <c r="A8" s="5" t="inlineStr">
        <is>
          <t>W4</t>
        </is>
      </c>
      <c r="B8" s="8" t="n">
        <v>36929</v>
      </c>
      <c r="C8" s="8" t="n">
        <v>27588</v>
      </c>
      <c r="D8" s="5" t="inlineStr">
        <is>
          <t>En curso</t>
        </is>
      </c>
      <c r="E8" s="10">
        <f>IF(OR(B8="",C8=""),"",C8-B8)</f>
        <v/>
      </c>
      <c r="F8" s="11">
        <f>IF(OR(N(B8)=0,C8=""),"",C8/B8)</f>
        <v/>
      </c>
      <c r="G8" s="10">
        <f>IF(B8="","",SUM($B$5:B8))</f>
        <v/>
      </c>
      <c r="H8" s="10">
        <f>IF(C8="","",SUM($C$5:C8))</f>
        <v/>
      </c>
      <c r="I8" s="11">
        <f>IF(OR(G8="",H8=""),"",H8/G8)</f>
        <v/>
      </c>
    </row>
    <row r="9">
      <c r="A9" s="5" t="inlineStr">
        <is>
          <t>W5</t>
        </is>
      </c>
      <c r="B9" s="8" t="n"/>
      <c r="C9" s="8" t="n"/>
      <c r="D9" s="5" t="n"/>
      <c r="E9" s="10">
        <f>IF(OR(B9="",C9=""),"",C9-B9)</f>
        <v/>
      </c>
      <c r="F9" s="11">
        <f>IF(OR(N(B9)=0,C9=""),"",C9/B9)</f>
        <v/>
      </c>
      <c r="G9" s="10">
        <f>IF(B9="","",SUM($B$5:B9))</f>
        <v/>
      </c>
      <c r="H9" s="10">
        <f>IF(C9="","",SUM($C$5:C9))</f>
        <v/>
      </c>
      <c r="I9" s="11">
        <f>IF(OR(G9="",H9=""),"",H9/G9)</f>
        <v/>
      </c>
    </row>
    <row r="10">
      <c r="A10" s="12" t="inlineStr">
        <is>
          <t>TOTAL</t>
        </is>
      </c>
      <c r="B10" s="13">
        <f>SUM(B5:B9)</f>
        <v/>
      </c>
      <c r="C10" s="13">
        <f>SUM(C5:C9)</f>
        <v/>
      </c>
      <c r="D10" s="17" t="inlineStr"/>
      <c r="E10" s="13">
        <f>C10-B10</f>
        <v/>
      </c>
      <c r="F10" s="14">
        <f>IF(B10=0,"",C10/B10)</f>
        <v/>
      </c>
    </row>
    <row r="12">
      <c r="A12" s="2" t="inlineStr">
        <is>
          <t>Control: Budget del mes en Config</t>
        </is>
      </c>
      <c r="C12" s="19">
        <f>Config!B11</f>
        <v/>
      </c>
      <c r="D12" s="2">
        <f>IF(B10=Config!B11,"OK","Revise: la suma semanal difiere del budget del mes")</f>
        <v/>
      </c>
    </row>
  </sheetData>
  <conditionalFormatting sqref="F5:F10">
    <cfRule type="cellIs" priority="1" operator="equal" dxfId="0">
      <formula>""</formula>
    </cfRule>
    <cfRule type="cellIs" priority="2" operator="greaterThanOrEqual" dxfId="1">
      <formula>Config!$B$8</formula>
    </cfRule>
    <cfRule type="cellIs" priority="3" operator="greaterThanOrEqual" dxfId="2">
      <formula>Config!$B$9</formula>
    </cfRule>
    <cfRule type="cellIs" priority="4" operator="lessThan" dxfId="3">
      <formula>Config!$B$9</formula>
    </cfRule>
  </conditionalFormatting>
  <conditionalFormatting sqref="I5:I9">
    <cfRule type="cellIs" priority="5" operator="equal" dxfId="0">
      <formula>""</formula>
    </cfRule>
    <cfRule type="cellIs" priority="6" operator="greaterThanOrEqual" dxfId="1">
      <formula>Config!$B$8</formula>
    </cfRule>
    <cfRule type="cellIs" priority="7" operator="greaterThanOrEqual" dxfId="2">
      <formula>Config!$B$9</formula>
    </cfRule>
    <cfRule type="cellIs" priority="8" operator="lessThan" dxfId="3">
      <formula>Config!$B$9</formula>
    </cfRule>
  </conditionalFormatting>
  <dataValidations count="1">
    <dataValidation sqref="D5 D6 D7 D8 D9" showDropDown="0" showInputMessage="0" showErrorMessage="0" allowBlank="1" type="list">
      <formula1>"Cerrada,En curso,Proyectada"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Pipeline — negocios por ganar</t>
        </is>
      </c>
    </row>
    <row r="2">
      <c r="A2" s="2" t="inlineStr">
        <is>
          <t>Filas de EJEMPLO: reemplácelas por las oportunidades reales. Ponderado = m² × probabilidad. Cierre esperado: W1..W5 del mes en curso o 'Mes siguiente'</t>
        </is>
      </c>
    </row>
    <row r="4" ht="32" customHeight="1">
      <c r="A4" s="9" t="inlineStr">
        <is>
          <t>Oportunidad / Proyecto</t>
        </is>
      </c>
      <c r="B4" s="9" t="inlineStr">
        <is>
          <t>Cliente</t>
        </is>
      </c>
      <c r="C4" s="9" t="inlineStr">
        <is>
          <t>Línea</t>
        </is>
      </c>
      <c r="D4" s="9" t="inlineStr">
        <is>
          <t>m²</t>
        </is>
      </c>
      <c r="E4" s="9" t="inlineStr">
        <is>
          <t>Probabilidad</t>
        </is>
      </c>
      <c r="F4" s="9" t="inlineStr">
        <is>
          <t>Cierre esperado</t>
        </is>
      </c>
      <c r="G4" s="9" t="inlineStr">
        <is>
          <t>Responsable</t>
        </is>
      </c>
      <c r="H4" s="9" t="inlineStr">
        <is>
          <t>m² ponderados</t>
        </is>
      </c>
    </row>
    <row r="5">
      <c r="A5" s="5" t="inlineStr">
        <is>
          <t>Oportunidad A (ejemplo)</t>
        </is>
      </c>
      <c r="B5" s="5" t="inlineStr">
        <is>
          <t>Cliente por definir</t>
        </is>
      </c>
      <c r="C5" s="5" t="inlineStr">
        <is>
          <t>Envolventes</t>
        </is>
      </c>
      <c r="D5" s="8" t="n">
        <v>6500</v>
      </c>
      <c r="E5" s="7" t="n">
        <v>0.7</v>
      </c>
      <c r="F5" s="5" t="inlineStr">
        <is>
          <t>W4</t>
        </is>
      </c>
      <c r="G5" s="5" t="inlineStr">
        <is>
          <t>Comercial</t>
        </is>
      </c>
      <c r="H5" s="10">
        <f>IF(A5="","",D5*E5)</f>
        <v/>
      </c>
    </row>
    <row r="6">
      <c r="A6" s="5" t="inlineStr">
        <is>
          <t>Oportunidad B (ejemplo)</t>
        </is>
      </c>
      <c r="B6" s="5" t="inlineStr">
        <is>
          <t>Cliente por definir</t>
        </is>
      </c>
      <c r="C6" s="5" t="inlineStr">
        <is>
          <t>Refrigeración</t>
        </is>
      </c>
      <c r="D6" s="8" t="n">
        <v>4200</v>
      </c>
      <c r="E6" s="7" t="n">
        <v>0.5</v>
      </c>
      <c r="F6" s="5" t="inlineStr">
        <is>
          <t>W4</t>
        </is>
      </c>
      <c r="G6" s="5" t="inlineStr">
        <is>
          <t>Comercial</t>
        </is>
      </c>
      <c r="H6" s="10">
        <f>IF(A6="","",D6*E6)</f>
        <v/>
      </c>
    </row>
    <row r="7">
      <c r="A7" s="5" t="inlineStr">
        <is>
          <t>Oportunidad C (ejemplo)</t>
        </is>
      </c>
      <c r="B7" s="5" t="inlineStr">
        <is>
          <t>Cliente por definir</t>
        </is>
      </c>
      <c r="C7" s="5" t="inlineStr">
        <is>
          <t>Envolventes</t>
        </is>
      </c>
      <c r="D7" s="8" t="n">
        <v>12000</v>
      </c>
      <c r="E7" s="7" t="n">
        <v>0.6</v>
      </c>
      <c r="F7" s="5" t="inlineStr">
        <is>
          <t>Mes siguiente</t>
        </is>
      </c>
      <c r="G7" s="5" t="inlineStr">
        <is>
          <t>Comercial</t>
        </is>
      </c>
      <c r="H7" s="10">
        <f>IF(A7="","",D7*E7)</f>
        <v/>
      </c>
    </row>
    <row r="8">
      <c r="A8" s="5" t="inlineStr">
        <is>
          <t>Oportunidad D (ejemplo)</t>
        </is>
      </c>
      <c r="B8" s="5" t="inlineStr">
        <is>
          <t>Cliente por definir</t>
        </is>
      </c>
      <c r="C8" s="5" t="inlineStr">
        <is>
          <t>Refrigeración</t>
        </is>
      </c>
      <c r="D8" s="8" t="n">
        <v>8000</v>
      </c>
      <c r="E8" s="7" t="n">
        <v>0.4</v>
      </c>
      <c r="F8" s="5" t="inlineStr">
        <is>
          <t>Mes siguiente</t>
        </is>
      </c>
      <c r="G8" s="5" t="inlineStr">
        <is>
          <t>Comercial</t>
        </is>
      </c>
      <c r="H8" s="10">
        <f>IF(A8="","",D8*E8)</f>
        <v/>
      </c>
    </row>
    <row r="9">
      <c r="A9" s="5" t="n"/>
      <c r="B9" s="5" t="n"/>
      <c r="C9" s="5" t="n"/>
      <c r="D9" s="8" t="n"/>
      <c r="E9" s="7" t="n"/>
      <c r="F9" s="5" t="n"/>
      <c r="G9" s="5" t="n"/>
      <c r="H9" s="10">
        <f>IF(A9="","",D9*E9)</f>
        <v/>
      </c>
    </row>
    <row r="10">
      <c r="A10" s="5" t="n"/>
      <c r="B10" s="5" t="n"/>
      <c r="C10" s="5" t="n"/>
      <c r="D10" s="8" t="n"/>
      <c r="E10" s="7" t="n"/>
      <c r="F10" s="5" t="n"/>
      <c r="G10" s="5" t="n"/>
      <c r="H10" s="10">
        <f>IF(A10="","",D10*E10)</f>
        <v/>
      </c>
    </row>
    <row r="11">
      <c r="A11" s="5" t="n"/>
      <c r="B11" s="5" t="n"/>
      <c r="C11" s="5" t="n"/>
      <c r="D11" s="8" t="n"/>
      <c r="E11" s="7" t="n"/>
      <c r="F11" s="5" t="n"/>
      <c r="G11" s="5" t="n"/>
      <c r="H11" s="10">
        <f>IF(A11="","",D11*E11)</f>
        <v/>
      </c>
    </row>
    <row r="12">
      <c r="A12" s="5" t="n"/>
      <c r="B12" s="5" t="n"/>
      <c r="C12" s="5" t="n"/>
      <c r="D12" s="8" t="n"/>
      <c r="E12" s="7" t="n"/>
      <c r="F12" s="5" t="n"/>
      <c r="G12" s="5" t="n"/>
      <c r="H12" s="10">
        <f>IF(A12="","",D12*E12)</f>
        <v/>
      </c>
    </row>
    <row r="13">
      <c r="A13" s="5" t="n"/>
      <c r="B13" s="5" t="n"/>
      <c r="C13" s="5" t="n"/>
      <c r="D13" s="8" t="n"/>
      <c r="E13" s="7" t="n"/>
      <c r="F13" s="5" t="n"/>
      <c r="G13" s="5" t="n"/>
      <c r="H13" s="10">
        <f>IF(A13="","",D13*E13)</f>
        <v/>
      </c>
    </row>
    <row r="14">
      <c r="A14" s="5" t="n"/>
      <c r="B14" s="5" t="n"/>
      <c r="C14" s="5" t="n"/>
      <c r="D14" s="8" t="n"/>
      <c r="E14" s="7" t="n"/>
      <c r="F14" s="5" t="n"/>
      <c r="G14" s="5" t="n"/>
      <c r="H14" s="10">
        <f>IF(A14="","",D14*E14)</f>
        <v/>
      </c>
    </row>
    <row r="15">
      <c r="A15" s="5" t="n"/>
      <c r="B15" s="5" t="n"/>
      <c r="C15" s="5" t="n"/>
      <c r="D15" s="8" t="n"/>
      <c r="E15" s="7" t="n"/>
      <c r="F15" s="5" t="n"/>
      <c r="G15" s="5" t="n"/>
      <c r="H15" s="10">
        <f>IF(A15="","",D15*E15)</f>
        <v/>
      </c>
    </row>
    <row r="16">
      <c r="A16" s="5" t="n"/>
      <c r="B16" s="5" t="n"/>
      <c r="C16" s="5" t="n"/>
      <c r="D16" s="8" t="n"/>
      <c r="E16" s="7" t="n"/>
      <c r="F16" s="5" t="n"/>
      <c r="G16" s="5" t="n"/>
      <c r="H16" s="10">
        <f>IF(A16="","",D16*E16)</f>
        <v/>
      </c>
    </row>
    <row r="17">
      <c r="A17" s="5" t="n"/>
      <c r="B17" s="5" t="n"/>
      <c r="C17" s="5" t="n"/>
      <c r="D17" s="8" t="n"/>
      <c r="E17" s="7" t="n"/>
      <c r="F17" s="5" t="n"/>
      <c r="G17" s="5" t="n"/>
      <c r="H17" s="10">
        <f>IF(A17="","",D17*E17)</f>
        <v/>
      </c>
    </row>
    <row r="18">
      <c r="A18" s="5" t="n"/>
      <c r="B18" s="5" t="n"/>
      <c r="C18" s="5" t="n"/>
      <c r="D18" s="8" t="n"/>
      <c r="E18" s="7" t="n"/>
      <c r="F18" s="5" t="n"/>
      <c r="G18" s="5" t="n"/>
      <c r="H18" s="10">
        <f>IF(A18="","",D18*E18)</f>
        <v/>
      </c>
    </row>
    <row r="19">
      <c r="A19" s="5" t="n"/>
      <c r="B19" s="5" t="n"/>
      <c r="C19" s="5" t="n"/>
      <c r="D19" s="8" t="n"/>
      <c r="E19" s="7" t="n"/>
      <c r="F19" s="5" t="n"/>
      <c r="G19" s="5" t="n"/>
      <c r="H19" s="10">
        <f>IF(A19="","",D19*E19)</f>
        <v/>
      </c>
    </row>
    <row r="20">
      <c r="A20" s="5" t="n"/>
      <c r="B20" s="5" t="n"/>
      <c r="C20" s="5" t="n"/>
      <c r="D20" s="8" t="n"/>
      <c r="E20" s="7" t="n"/>
      <c r="F20" s="5" t="n"/>
      <c r="G20" s="5" t="n"/>
      <c r="H20" s="10">
        <f>IF(A20="","",D20*E20)</f>
        <v/>
      </c>
    </row>
    <row r="21">
      <c r="A21" s="5" t="n"/>
      <c r="B21" s="5" t="n"/>
      <c r="C21" s="5" t="n"/>
      <c r="D21" s="8" t="n"/>
      <c r="E21" s="7" t="n"/>
      <c r="F21" s="5" t="n"/>
      <c r="G21" s="5" t="n"/>
      <c r="H21" s="10">
        <f>IF(A21="","",D21*E21)</f>
        <v/>
      </c>
    </row>
    <row r="22">
      <c r="A22" s="5" t="n"/>
      <c r="B22" s="5" t="n"/>
      <c r="C22" s="5" t="n"/>
      <c r="D22" s="8" t="n"/>
      <c r="E22" s="7" t="n"/>
      <c r="F22" s="5" t="n"/>
      <c r="G22" s="5" t="n"/>
      <c r="H22" s="10">
        <f>IF(A22="","",D22*E22)</f>
        <v/>
      </c>
    </row>
    <row r="23">
      <c r="A23" s="5" t="n"/>
      <c r="B23" s="5" t="n"/>
      <c r="C23" s="5" t="n"/>
      <c r="D23" s="8" t="n"/>
      <c r="E23" s="7" t="n"/>
      <c r="F23" s="5" t="n"/>
      <c r="G23" s="5" t="n"/>
      <c r="H23" s="10">
        <f>IF(A23="","",D23*E23)</f>
        <v/>
      </c>
    </row>
    <row r="24">
      <c r="A24" s="5" t="n"/>
      <c r="B24" s="5" t="n"/>
      <c r="C24" s="5" t="n"/>
      <c r="D24" s="8" t="n"/>
      <c r="E24" s="7" t="n"/>
      <c r="F24" s="5" t="n"/>
      <c r="G24" s="5" t="n"/>
      <c r="H24" s="10">
        <f>IF(A24="","",D24*E24)</f>
        <v/>
      </c>
    </row>
    <row r="25">
      <c r="A25" s="5" t="n"/>
      <c r="B25" s="5" t="n"/>
      <c r="C25" s="5" t="n"/>
      <c r="D25" s="8" t="n"/>
      <c r="E25" s="7" t="n"/>
      <c r="F25" s="5" t="n"/>
      <c r="G25" s="5" t="n"/>
      <c r="H25" s="10">
        <f>IF(A25="","",D25*E25)</f>
        <v/>
      </c>
    </row>
    <row r="26">
      <c r="A26" s="5" t="n"/>
      <c r="B26" s="5" t="n"/>
      <c r="C26" s="5" t="n"/>
      <c r="D26" s="8" t="n"/>
      <c r="E26" s="7" t="n"/>
      <c r="F26" s="5" t="n"/>
      <c r="G26" s="5" t="n"/>
      <c r="H26" s="10">
        <f>IF(A26="","",D26*E26)</f>
        <v/>
      </c>
    </row>
    <row r="27">
      <c r="A27" s="5" t="n"/>
      <c r="B27" s="5" t="n"/>
      <c r="C27" s="5" t="n"/>
      <c r="D27" s="8" t="n"/>
      <c r="E27" s="7" t="n"/>
      <c r="F27" s="5" t="n"/>
      <c r="G27" s="5" t="n"/>
      <c r="H27" s="10">
        <f>IF(A27="","",D27*E27)</f>
        <v/>
      </c>
    </row>
    <row r="28">
      <c r="A28" s="5" t="n"/>
      <c r="B28" s="5" t="n"/>
      <c r="C28" s="5" t="n"/>
      <c r="D28" s="8" t="n"/>
      <c r="E28" s="7" t="n"/>
      <c r="F28" s="5" t="n"/>
      <c r="G28" s="5" t="n"/>
      <c r="H28" s="10">
        <f>IF(A28="","",D28*E28)</f>
        <v/>
      </c>
    </row>
    <row r="29">
      <c r="A29" s="5" t="n"/>
      <c r="B29" s="5" t="n"/>
      <c r="C29" s="5" t="n"/>
      <c r="D29" s="8" t="n"/>
      <c r="E29" s="7" t="n"/>
      <c r="F29" s="5" t="n"/>
      <c r="G29" s="5" t="n"/>
      <c r="H29" s="10">
        <f>IF(A29="","",D29*E29)</f>
        <v/>
      </c>
    </row>
    <row r="31">
      <c r="A31" s="12" t="inlineStr">
        <is>
          <t>TOTAL</t>
        </is>
      </c>
      <c r="D31" s="13">
        <f>SUM(D5:D29)</f>
        <v/>
      </c>
      <c r="H31" s="13">
        <f>SUM(H5:H29)</f>
        <v/>
      </c>
    </row>
  </sheetData>
  <dataValidations count="1">
    <dataValidation sqref="F5 F6 F7 F8 F9 F10 F11 F12 F13 F14 F15 F16 F17 F18 F19 F20 F21 F22 F23 F24 F25 F26 F27 F28 F29" showDropDown="0" showInputMessage="0" showErrorMessage="0" allowBlank="1" type="list">
      <formula1>"W1,W2,W3,W4,W5,Mes siguiente"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Comentarios para cada diapositiva (opcional)</t>
        </is>
      </c>
    </row>
    <row r="2">
      <c r="A2" s="2" t="inlineStr">
        <is>
          <t>Hasta 3 mensajes por diapositiva; aparecen antes de las alertas automáticas</t>
        </is>
      </c>
    </row>
    <row r="4" ht="32" customHeight="1">
      <c r="A4" s="9" t="inlineStr">
        <is>
          <t>Diapositiva</t>
        </is>
      </c>
      <c r="B4" s="9" t="inlineStr">
        <is>
          <t>Comentario</t>
        </is>
      </c>
    </row>
    <row r="5">
      <c r="A5" s="20" t="inlineStr">
        <is>
          <t>Ventas m2</t>
        </is>
      </c>
      <c r="B5" s="5" t="n"/>
    </row>
    <row r="6">
      <c r="A6" s="20" t="inlineStr">
        <is>
          <t>Ventas m2</t>
        </is>
      </c>
      <c r="B6" s="5" t="n"/>
    </row>
    <row r="7">
      <c r="A7" s="20" t="inlineStr">
        <is>
          <t>Ventas m2</t>
        </is>
      </c>
      <c r="B7" s="5" t="n"/>
    </row>
    <row r="8">
      <c r="A8" s="20" t="inlineStr">
        <is>
          <t>Revenue</t>
        </is>
      </c>
      <c r="B8" s="5" t="n"/>
    </row>
    <row r="9">
      <c r="A9" s="20" t="inlineStr">
        <is>
          <t>Revenue</t>
        </is>
      </c>
      <c r="B9" s="5" t="n"/>
    </row>
    <row r="10">
      <c r="A10" s="20" t="inlineStr">
        <is>
          <t>Revenue</t>
        </is>
      </c>
      <c r="B10" s="5" t="n"/>
    </row>
    <row r="11">
      <c r="A11" s="20" t="inlineStr">
        <is>
          <t>Order Intake</t>
        </is>
      </c>
      <c r="B11" s="5" t="n"/>
    </row>
    <row r="12">
      <c r="A12" s="20" t="inlineStr">
        <is>
          <t>Order Intake</t>
        </is>
      </c>
      <c r="B12" s="5" t="n"/>
    </row>
    <row r="13">
      <c r="A13" s="20" t="inlineStr">
        <is>
          <t>Order Intake</t>
        </is>
      </c>
      <c r="B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2026-09-30T18:58:21Z</dcterms:created>
  <dcterms:modified xmlns:dcterms="http://purl.org/dc/terms/" xmlns:xsi="http://www.w3.org/2001/XMLSchema-instance" xsi:type="dcterms:W3CDTF">2026-09-30T18:58:21Z</dcterms:modified>
</cp:coreProperties>
</file>