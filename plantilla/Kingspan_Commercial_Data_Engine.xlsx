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6.xml" ContentType="application/vnd.openxmlformats-officedocument.spreadsheetml.comments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drawings/drawing13.xml" ContentType="application/vnd.openxmlformats-officedocument.drawing+xml"/>
  <Override PartName="/xl/worksheets/sheet19.xml" ContentType="application/vnd.openxmlformats-officedocument.spreadsheetml.worksheet+xml"/>
  <Override PartName="/xl/drawings/drawing14.xml" ContentType="application/vnd.openxmlformats-officedocument.drawing+xml"/>
  <Override PartName="/xl/worksheets/sheet20.xml" ContentType="application/vnd.openxmlformats-officedocument.spreadsheetml.worksheet+xml"/>
  <Override PartName="/xl/drawings/drawing15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6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3" activeTab="7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00_Resumen_Ejecutivo" sheetId="2" state="visible" r:id="rId2"/>
    <sheet xmlns:r="http://schemas.openxmlformats.org/officeDocument/2006/relationships" name="01_Overview" sheetId="3" state="visible" r:id="rId3"/>
    <sheet xmlns:r="http://schemas.openxmlformats.org/officeDocument/2006/relationships" name="19_OI_Regiones" sheetId="4" state="visible" r:id="rId4"/>
    <sheet xmlns:r="http://schemas.openxmlformats.org/officeDocument/2006/relationships" name="02_OI" sheetId="5" state="visible" r:id="rId5"/>
    <sheet xmlns:r="http://schemas.openxmlformats.org/officeDocument/2006/relationships" name="03_OI_Canal" sheetId="6" state="visible" r:id="rId6"/>
    <sheet xmlns:r="http://schemas.openxmlformats.org/officeDocument/2006/relationships" name="22_Canales_Segmentos" sheetId="7" state="visible" r:id="rId7"/>
    <sheet xmlns:r="http://schemas.openxmlformats.org/officeDocument/2006/relationships" name="21_Ppto_Junta" sheetId="8" state="visible" r:id="rId8"/>
    <sheet xmlns:r="http://schemas.openxmlformats.org/officeDocument/2006/relationships" name="04_Backlog" sheetId="9" state="visible" r:id="rId9"/>
    <sheet xmlns:r="http://schemas.openxmlformats.org/officeDocument/2006/relationships" name="05_Backlog_Canal" sheetId="10" state="visible" r:id="rId10"/>
    <sheet xmlns:r="http://schemas.openxmlformats.org/officeDocument/2006/relationships" name="06_Perf_Forecast" sheetId="11" state="visible" r:id="rId11"/>
    <sheet xmlns:r="http://schemas.openxmlformats.org/officeDocument/2006/relationships" name="07_Top_Opps" sheetId="12" state="visible" r:id="rId12"/>
    <sheet xmlns:r="http://schemas.openxmlformats.org/officeDocument/2006/relationships" name="08_Key_Projects" sheetId="13" state="visible" r:id="rId13"/>
    <sheet xmlns:r="http://schemas.openxmlformats.org/officeDocument/2006/relationships" name="RSM_Resumen_Canales" sheetId="14" state="visible" r:id="rId14"/>
    <sheet xmlns:r="http://schemas.openxmlformats.org/officeDocument/2006/relationships" name="09_RSM_Industrial" sheetId="15" state="visible" r:id="rId15"/>
    <sheet xmlns:r="http://schemas.openxmlformats.org/officeDocument/2006/relationships" name="10_RSM_Distribucion" sheetId="16" state="visible" r:id="rId16"/>
    <sheet xmlns:r="http://schemas.openxmlformats.org/officeDocument/2006/relationships" name="11_RSM_Otras_Geo" sheetId="17" state="visible" r:id="rId17"/>
    <sheet xmlns:r="http://schemas.openxmlformats.org/officeDocument/2006/relationships" name="12_RSM_Cold_Storage" sheetId="18" state="visible" r:id="rId18"/>
    <sheet xmlns:r="http://schemas.openxmlformats.org/officeDocument/2006/relationships" name="13_RSM_Site_Cali" sheetId="19" state="visible" r:id="rId19"/>
    <sheet xmlns:r="http://schemas.openxmlformats.org/officeDocument/2006/relationships" name="14_RSM_Vtas_Alt" sheetId="20" state="visible" r:id="rId20"/>
    <sheet xmlns:r="http://schemas.openxmlformats.org/officeDocument/2006/relationships" name="15_Highlights" sheetId="21" state="visible" r:id="rId21"/>
    <sheet xmlns:r="http://schemas.openxmlformats.org/officeDocument/2006/relationships" name="Pipeline" sheetId="22" state="visible" r:id="rId22"/>
    <sheet xmlns:r="http://schemas.openxmlformats.org/officeDocument/2006/relationships" name="Validaciones" sheetId="23" state="visible" r:id="rId23"/>
    <sheet xmlns:r="http://schemas.openxmlformats.org/officeDocument/2006/relationships" name="16_Iniciativas" sheetId="24" state="visible" r:id="rId24"/>
    <sheet xmlns:r="http://schemas.openxmlformats.org/officeDocument/2006/relationships" name="17_Actividad_Impacto" sheetId="25" state="visible" r:id="rId25"/>
    <sheet xmlns:r="http://schemas.openxmlformats.org/officeDocument/2006/relationships" name="18_Acciones_Decisiones" sheetId="26" state="visible" r:id="rId26"/>
    <sheet xmlns:r="http://schemas.openxmlformats.org/officeDocument/2006/relationships" name="20_Lost_Business" sheetId="27" state="visible" r:id="rId27"/>
  </sheets>
  <definedNames>
    <definedName name="_xlnm._FilterDatabase" localSheetId="21" hidden="1">'Pipeline'!$A$6:$P$67</definedName>
  </definedNames>
  <calcPr calcId="191029" fullCalcOnLoad="1"/>
</workbook>
</file>

<file path=xl/styles.xml><?xml version="1.0" encoding="utf-8"?>
<styleSheet xmlns="http://schemas.openxmlformats.org/spreadsheetml/2006/main">
  <numFmts count="25">
    <numFmt numFmtId="164" formatCode="#,##0;\(#,##0\);\-"/>
    <numFmt numFmtId="165" formatCode="dd\-mmm\-yy"/>
    <numFmt numFmtId="166" formatCode="0.0%"/>
    <numFmt numFmtId="167" formatCode="\+0.0%;\-0.0%"/>
    <numFmt numFmtId="168" formatCode="0.0%;\-0.0%;\-"/>
    <numFmt numFmtId="169" formatCode="0.00\x"/>
    <numFmt numFmtId="170" formatCode="\$#,##0;&quot;($&quot;#,##0\);\-"/>
    <numFmt numFmtId="171" formatCode="\+0.0&quot; pp&quot;;\-0.0&quot; pp&quot;;&quot;0,0 pp&quot;"/>
    <numFmt numFmtId="172" formatCode="#,##0;\(#,##0\);&quot;OK&quot;"/>
    <numFmt numFmtId="173" formatCode="&quot;$ &quot;#,##0"/>
    <numFmt numFmtId="174" formatCode="\+0.0&quot; pp&quot;;\-0.0&quot; pp&quot;"/>
    <numFmt numFmtId="175" formatCode="0.0000"/>
    <numFmt numFmtId="176" formatCode="#,##0.0"/>
    <numFmt numFmtId="177" formatCode="0.000000"/>
    <numFmt numFmtId="178" formatCode="_-* #,##0.00_-;\-* #,##0.00_-;_-* \-??_-;_-@_-"/>
    <numFmt numFmtId="179" formatCode="_-&quot;$ &quot;* #,##0_-;&quot;-$ &quot;* #,##0_-;_-&quot;$ &quot;* \-??_-;_-@_-"/>
    <numFmt numFmtId="180" formatCode="_-* #,##0_-;\-* #,##0_-;_-* \-??_-;_-@_-"/>
    <numFmt numFmtId="181" formatCode="#,##0.##"/>
    <numFmt numFmtId="182" formatCode="\$#,##0"/>
    <numFmt numFmtId="183" formatCode="_(* #,##0.00_);_(* \(#,##0.00\);_(* \-??_);_(@_)"/>
    <numFmt numFmtId="184" formatCode="_(\$* #,##0.00_);_(\$* \(#,##0.00\);_(\$* \-??_);_(@_)"/>
    <numFmt numFmtId="185" formatCode="#,##0;-#,##0;0"/>
    <numFmt numFmtId="186" formatCode="0.0"/>
    <numFmt numFmtId="187" formatCode="$#,##0"/>
    <numFmt numFmtId="188" formatCode="$#,##0.0"/>
  </numFmts>
  <fonts count="34">
    <font>
      <name val="Calibri"/>
      <charset val="1"/>
      <family val="2"/>
      <color theme="1"/>
      <sz val="11"/>
    </font>
    <font>
      <name val="Arial"/>
      <charset val="1"/>
      <family val="2"/>
      <b val="1"/>
      <color rgb="FF061530"/>
      <sz val="14"/>
    </font>
    <font>
      <name val="Arial"/>
      <charset val="1"/>
      <family val="2"/>
      <b val="1"/>
      <color rgb="FF061530"/>
      <sz val="11"/>
    </font>
    <font>
      <name val="Arial"/>
      <charset val="1"/>
      <family val="2"/>
      <color rgb="FF000000"/>
      <sz val="10"/>
    </font>
    <font>
      <name val="Arial"/>
      <charset val="1"/>
      <b val="1"/>
      <color rgb="FF061530"/>
      <sz val="11"/>
    </font>
    <font>
      <name val="Arial"/>
      <charset val="1"/>
      <color rgb="FF000000"/>
      <sz val="10"/>
    </font>
    <font>
      <name val="Arial"/>
      <charset val="1"/>
      <b val="1"/>
      <color rgb="FF061530"/>
      <sz val="14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000000"/>
      <sz val="10"/>
    </font>
    <font>
      <name val="Arial"/>
      <charset val="1"/>
      <color rgb="FF0000FF"/>
      <sz val="10"/>
    </font>
    <font>
      <name val="Arial"/>
      <charset val="1"/>
      <color rgb="FF008000"/>
      <sz val="10"/>
    </font>
    <font>
      <name val="Arial"/>
      <charset val="1"/>
      <b val="1"/>
      <sz val="10"/>
    </font>
    <font>
      <name val="Arial"/>
      <charset val="1"/>
      <family val="2"/>
      <i val="1"/>
      <color rgb="FF595959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color rgb="FF0000FF"/>
      <sz val="10"/>
    </font>
    <font>
      <name val="Arial"/>
      <charset val="1"/>
      <family val="2"/>
      <b val="1"/>
      <sz val="10"/>
    </font>
    <font>
      <name val="Arial"/>
      <family val="2"/>
      <sz val="10"/>
    </font>
    <font>
      <name val="Arial"/>
      <charset val="1"/>
      <family val="2"/>
      <color rgb="FF008000"/>
      <sz val="10"/>
    </font>
    <font>
      <name val="Arial"/>
      <charset val="1"/>
      <color rgb="FF595959"/>
      <sz val="10"/>
    </font>
    <font>
      <name val="Arial"/>
      <charset val="1"/>
      <color rgb="FFBFBFBF"/>
      <sz val="8"/>
    </font>
    <font>
      <name val="Arial"/>
      <charset val="1"/>
      <family val="2"/>
      <b val="1"/>
      <color rgb="FF0000FF"/>
      <sz val="10"/>
    </font>
    <font>
      <name val="Arial"/>
      <charset val="1"/>
      <family val="2"/>
      <sz val="10"/>
    </font>
    <font>
      <name val="Arial"/>
      <charset val="1"/>
      <b val="1"/>
      <color rgb="FF9C0006"/>
      <sz val="10"/>
    </font>
    <font>
      <name val="Arial"/>
      <charset val="1"/>
      <family val="2"/>
      <color rgb="FFFF0000"/>
      <sz val="10"/>
    </font>
    <font>
      <name val="Arial"/>
      <family val="2"/>
      <b val="1"/>
      <color rgb="FFFF0000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F4E9A"/>
      <sz val="9"/>
    </font>
    <font>
      <name val="Arial"/>
      <b val="1"/>
      <color rgb="00061530"/>
      <sz val="14"/>
    </font>
    <font>
      <name val="Arial"/>
      <i val="1"/>
      <color rgb="00595959"/>
      <sz val="9"/>
    </font>
    <font>
      <name val="Arial"/>
      <b val="1"/>
      <color rgb="00000000"/>
      <sz val="9"/>
    </font>
    <font>
      <name val="Arial"/>
      <b val="1"/>
      <color rgb="00061530"/>
      <sz val="11"/>
    </font>
  </fonts>
  <fills count="14">
    <fill>
      <patternFill/>
    </fill>
    <fill>
      <patternFill patternType="gray125"/>
    </fill>
    <fill>
      <patternFill patternType="solid">
        <fgColor rgb="FF061530"/>
        <bgColor rgb="FF000000"/>
      </patternFill>
    </fill>
    <fill>
      <patternFill patternType="solid">
        <fgColor rgb="FFFFF2CC"/>
        <bgColor rgb="FFF9F9F9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4990"/>
        <bgColor rgb="FF0066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9F9F9"/>
      </patternFill>
    </fill>
    <fill>
      <patternFill patternType="solid">
        <fgColor rgb="0006153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CE6F1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3">
    <xf numFmtId="0" fontId="0" fillId="0" borderId="0"/>
    <xf numFmtId="183" fontId="23" fillId="0" borderId="0"/>
    <xf numFmtId="184" fontId="23" fillId="0" borderId="0"/>
  </cellStyleXfs>
  <cellXfs count="148">
    <xf numFmtId="0" fontId="0" fillId="0" borderId="0" pivotButton="0" quotePrefix="0" xfId="0"/>
    <xf numFmtId="0" fontId="10" fillId="3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5" fillId="0" borderId="1" pivotButton="0" quotePrefix="0" xfId="0"/>
    <xf numFmtId="164" fontId="10" fillId="3" borderId="1" applyAlignment="1" pivotButton="0" quotePrefix="0" xfId="0">
      <alignment vertical="top" wrapText="1"/>
    </xf>
    <xf numFmtId="164" fontId="11" fillId="0" borderId="1" pivotButton="0" quotePrefix="0" xfId="0"/>
    <xf numFmtId="164" fontId="5" fillId="0" borderId="1" pivotButton="0" quotePrefix="0" xfId="0"/>
    <xf numFmtId="9" fontId="5" fillId="0" borderId="1" pivotButton="0" quotePrefix="0" xfId="0"/>
    <xf numFmtId="0" fontId="5" fillId="0" borderId="1" applyAlignment="1" pivotButton="0" quotePrefix="0" xfId="0">
      <alignment horizontal="center"/>
    </xf>
    <xf numFmtId="165" fontId="10" fillId="3" borderId="1" applyAlignment="1" pivotButton="0" quotePrefix="0" xfId="0">
      <alignment vertical="top" wrapText="1"/>
    </xf>
    <xf numFmtId="166" fontId="10" fillId="3" borderId="1" applyAlignment="1" pivotButton="0" quotePrefix="0" xfId="0">
      <alignment vertical="top" wrapText="1"/>
    </xf>
    <xf numFmtId="166" fontId="11" fillId="0" borderId="1" pivotButton="0" quotePrefix="0" xfId="0"/>
    <xf numFmtId="167" fontId="5" fillId="0" borderId="1" pivotButton="0" quotePrefix="0" xfId="0"/>
    <xf numFmtId="1" fontId="10" fillId="0" borderId="1" pivotButton="0" quotePrefix="0" xfId="0"/>
    <xf numFmtId="1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15" fillId="0" borderId="1" pivotButton="0" quotePrefix="0" xfId="0"/>
    <xf numFmtId="164" fontId="16" fillId="3" borderId="1" pivotButton="0" quotePrefix="0" xfId="0"/>
    <xf numFmtId="168" fontId="3" fillId="0" borderId="1" pivotButton="0" quotePrefix="0" xfId="0"/>
    <xf numFmtId="169" fontId="3" fillId="0" borderId="1" pivotButton="0" quotePrefix="0" xfId="0"/>
    <xf numFmtId="0" fontId="3" fillId="0" borderId="1" pivotButton="0" quotePrefix="0" xfId="0"/>
    <xf numFmtId="0" fontId="16" fillId="3" borderId="1" pivotButton="0" quotePrefix="0" xfId="0"/>
    <xf numFmtId="1" fontId="3" fillId="0" borderId="1" pivotButton="0" quotePrefix="0" xfId="0"/>
    <xf numFmtId="0" fontId="17" fillId="4" borderId="1" pivotButton="0" quotePrefix="0" xfId="0"/>
    <xf numFmtId="164" fontId="17" fillId="4" borderId="1" pivotButton="0" quotePrefix="0" xfId="0"/>
    <xf numFmtId="168" fontId="17" fillId="4" borderId="1" pivotButton="0" quotePrefix="0" xfId="0"/>
    <xf numFmtId="170" fontId="16" fillId="3" borderId="1" pivotButton="0" quotePrefix="0" xfId="0"/>
    <xf numFmtId="1" fontId="16" fillId="3" borderId="1" pivotButton="0" quotePrefix="0" xfId="0"/>
    <xf numFmtId="166" fontId="16" fillId="3" borderId="1" pivotButton="0" quotePrefix="0" xfId="0"/>
    <xf numFmtId="171" fontId="3" fillId="0" borderId="1" pivotButton="0" quotePrefix="0" xfId="0"/>
    <xf numFmtId="3" fontId="16" fillId="3" borderId="1" pivotButton="0" quotePrefix="0" xfId="0"/>
    <xf numFmtId="3" fontId="3" fillId="0" borderId="1" pivotButton="0" quotePrefix="0" xfId="0"/>
    <xf numFmtId="3" fontId="17" fillId="4" borderId="1" pivotButton="0" quotePrefix="0" xfId="0"/>
    <xf numFmtId="172" fontId="3" fillId="0" borderId="1" pivotButton="0" quotePrefix="0" xfId="0"/>
    <xf numFmtId="164" fontId="19" fillId="0" borderId="1" pivotButton="0" quotePrefix="0" xfId="0"/>
    <xf numFmtId="9" fontId="3" fillId="0" borderId="1" pivotButton="0" quotePrefix="0" xfId="0"/>
    <xf numFmtId="168" fontId="3" fillId="0" borderId="1" applyAlignment="1" pivotButton="0" quotePrefix="0" xfId="0">
      <alignment horizontal="right"/>
    </xf>
    <xf numFmtId="171" fontId="17" fillId="4" borderId="1" pivotButton="0" quotePrefix="0" xfId="0"/>
    <xf numFmtId="9" fontId="17" fillId="4" borderId="1" pivotButton="0" quotePrefix="0" xfId="0"/>
    <xf numFmtId="164" fontId="3" fillId="0" borderId="1" pivotButton="0" quotePrefix="0" xfId="0"/>
    <xf numFmtId="164" fontId="0" fillId="0" borderId="0" pivotButton="0" quotePrefix="0" xfId="0"/>
    <xf numFmtId="173" fontId="16" fillId="3" borderId="1" pivotButton="0" quotePrefix="0" xfId="0"/>
    <xf numFmtId="164" fontId="15" fillId="0" borderId="1" pivotButton="0" quotePrefix="0" xfId="0"/>
    <xf numFmtId="3" fontId="15" fillId="0" borderId="1" pivotButton="0" quotePrefix="0" xfId="0"/>
    <xf numFmtId="0" fontId="15" fillId="5" borderId="1" pivotButton="0" quotePrefix="0" xfId="0"/>
    <xf numFmtId="164" fontId="3" fillId="5" borderId="1" pivotButton="0" quotePrefix="0" xfId="0"/>
    <xf numFmtId="3" fontId="3" fillId="5" borderId="1" pivotButton="0" quotePrefix="0" xfId="0"/>
    <xf numFmtId="173" fontId="3" fillId="0" borderId="1" pivotButton="0" quotePrefix="0" xfId="0"/>
    <xf numFmtId="170" fontId="3" fillId="0" borderId="1" pivotButton="0" quotePrefix="0" xfId="0"/>
    <xf numFmtId="165" fontId="3" fillId="0" borderId="1" pivotButton="0" quotePrefix="0" xfId="0"/>
    <xf numFmtId="170" fontId="17" fillId="4" borderId="1" pivotButton="0" quotePrefix="0" xfId="0"/>
    <xf numFmtId="1" fontId="17" fillId="4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20" fillId="0" borderId="1" pivotButton="0" quotePrefix="0" xfId="0"/>
    <xf numFmtId="174" fontId="5" fillId="0" borderId="1" pivotButton="0" quotePrefix="0" xfId="0"/>
    <xf numFmtId="169" fontId="5" fillId="0" borderId="1" pivotButton="0" quotePrefix="0" xfId="0"/>
    <xf numFmtId="175" fontId="21" fillId="0" borderId="1" pivotButton="0" quotePrefix="0" xfId="0"/>
    <xf numFmtId="1" fontId="5" fillId="0" borderId="1" pivotButton="0" quotePrefix="0" xfId="0"/>
    <xf numFmtId="0" fontId="9" fillId="4" borderId="1" pivotButton="0" quotePrefix="0" xfId="0"/>
    <xf numFmtId="164" fontId="9" fillId="4" borderId="1" pivotButton="0" quotePrefix="0" xfId="0"/>
    <xf numFmtId="9" fontId="9" fillId="4" borderId="1" pivotButton="0" quotePrefix="0" xfId="0"/>
    <xf numFmtId="166" fontId="9" fillId="4" borderId="1" pivotButton="0" quotePrefix="0" xfId="0"/>
    <xf numFmtId="174" fontId="9" fillId="4" borderId="1" pivotButton="0" quotePrefix="0" xfId="0"/>
    <xf numFmtId="169" fontId="9" fillId="4" borderId="1" pivotButton="0" quotePrefix="0" xfId="0"/>
    <xf numFmtId="166" fontId="5" fillId="0" borderId="1" pivotButton="0" quotePrefix="0" xfId="0"/>
    <xf numFmtId="176" fontId="5" fillId="0" borderId="1" pivotButton="0" quotePrefix="0" xfId="0"/>
    <xf numFmtId="176" fontId="9" fillId="4" borderId="1" pivotButton="0" quotePrefix="0" xfId="0"/>
    <xf numFmtId="0" fontId="14" fillId="6" borderId="1" applyAlignment="1" pivotButton="0" quotePrefix="0" xfId="0">
      <alignment horizontal="center" vertical="center" wrapText="1"/>
    </xf>
    <xf numFmtId="164" fontId="22" fillId="3" borderId="1" pivotButton="0" quotePrefix="0" xfId="0"/>
    <xf numFmtId="0" fontId="3" fillId="0" borderId="1" applyAlignment="1" pivotButton="0" quotePrefix="0" xfId="0">
      <alignment horizontal="center"/>
    </xf>
    <xf numFmtId="177" fontId="3" fillId="0" borderId="1" pivotButton="0" quotePrefix="0" xfId="0"/>
    <xf numFmtId="178" fontId="23" fillId="0" borderId="0" pivotButton="0" quotePrefix="0" xfId="1"/>
    <xf numFmtId="9" fontId="16" fillId="3" borderId="1" pivotButton="0" quotePrefix="0" xfId="0"/>
    <xf numFmtId="165" fontId="16" fillId="3" borderId="1" pivotButton="0" quotePrefix="0" xfId="0"/>
    <xf numFmtId="179" fontId="23" fillId="0" borderId="1" pivotButton="0" quotePrefix="0" xfId="2"/>
    <xf numFmtId="180" fontId="23" fillId="0" borderId="1" pivotButton="0" quotePrefix="0" xfId="1"/>
    <xf numFmtId="0" fontId="24" fillId="0" borderId="0" pivotButton="0" quotePrefix="0" xfId="0"/>
    <xf numFmtId="0" fontId="8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81" fontId="10" fillId="3" borderId="1" applyAlignment="1" pivotButton="0" quotePrefix="0" xfId="0">
      <alignment vertical="top" wrapText="1"/>
    </xf>
    <xf numFmtId="176" fontId="10" fillId="3" borderId="1" applyAlignment="1" pivotButton="0" quotePrefix="0" xfId="0">
      <alignment vertical="top" wrapText="1"/>
    </xf>
    <xf numFmtId="182" fontId="10" fillId="3" borderId="1" applyAlignment="1" pivotButton="0" quotePrefix="0" xfId="0">
      <alignment vertical="top" wrapText="1"/>
    </xf>
    <xf numFmtId="182" fontId="11" fillId="0" borderId="1" pivotButton="0" quotePrefix="0" xfId="0"/>
    <xf numFmtId="182" fontId="5" fillId="0" borderId="1" pivotButton="0" quotePrefix="0" xfId="0"/>
    <xf numFmtId="164" fontId="25" fillId="3" borderId="1" pivotButton="0" quotePrefix="0" xfId="0"/>
    <xf numFmtId="164" fontId="26" fillId="7" borderId="1" pivotButton="0" quotePrefix="0" xfId="0"/>
    <xf numFmtId="164" fontId="26" fillId="8" borderId="1" pivotButton="0" quotePrefix="0" xfId="0"/>
    <xf numFmtId="0" fontId="10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6" pivotButton="0" quotePrefix="0" xfId="0"/>
    <xf numFmtId="0" fontId="29" fillId="10" borderId="6" pivotButton="0" quotePrefix="0" xfId="0"/>
    <xf numFmtId="0" fontId="27" fillId="9" borderId="6" applyAlignment="1" pivotButton="0" quotePrefix="0" xfId="0">
      <alignment horizontal="center" vertical="center" wrapText="1"/>
    </xf>
    <xf numFmtId="185" fontId="29" fillId="10" borderId="6" pivotButton="0" quotePrefix="0" xfId="0"/>
    <xf numFmtId="0" fontId="31" fillId="13" borderId="6" pivotButton="0" quotePrefix="0" xfId="0"/>
    <xf numFmtId="185" fontId="28" fillId="0" borderId="6" pivotButton="0" quotePrefix="0" xfId="0"/>
    <xf numFmtId="0" fontId="28" fillId="0" borderId="6" pivotButton="0" quotePrefix="0" xfId="0"/>
    <xf numFmtId="0" fontId="32" fillId="11" borderId="6" pivotButton="0" quotePrefix="0" xfId="0"/>
    <xf numFmtId="185" fontId="32" fillId="11" borderId="6" pivotButton="0" quotePrefix="0" xfId="0"/>
    <xf numFmtId="0" fontId="33" fillId="0" borderId="0" pivotButton="0" quotePrefix="0" xfId="0"/>
    <xf numFmtId="166" fontId="28" fillId="0" borderId="6" pivotButton="0" quotePrefix="0" xfId="0"/>
    <xf numFmtId="0" fontId="27" fillId="9" borderId="6" applyAlignment="1" pivotButton="0" quotePrefix="0" xfId="0">
      <alignment wrapText="1"/>
    </xf>
    <xf numFmtId="166" fontId="29" fillId="10" borderId="6" pivotButton="0" quotePrefix="0" xfId="0"/>
    <xf numFmtId="0" fontId="31" fillId="0" borderId="6" pivotButton="0" quotePrefix="0" xfId="0"/>
    <xf numFmtId="185" fontId="32" fillId="0" borderId="6" pivotButton="0" quotePrefix="0" xfId="0"/>
    <xf numFmtId="166" fontId="32" fillId="0" borderId="6" pivotButton="0" quotePrefix="0" xfId="0"/>
    <xf numFmtId="0" fontId="32" fillId="12" borderId="6" pivotButton="0" quotePrefix="0" xfId="0"/>
    <xf numFmtId="185" fontId="32" fillId="12" borderId="6" pivotButton="0" quotePrefix="0" xfId="0"/>
    <xf numFmtId="166" fontId="32" fillId="11" borderId="6" pivotButton="0" quotePrefix="0" xfId="0"/>
    <xf numFmtId="186" fontId="28" fillId="0" borderId="6" pivotButton="0" quotePrefix="0" xfId="0"/>
    <xf numFmtId="9" fontId="28" fillId="0" borderId="6" pivotButton="0" quotePrefix="0" xfId="0"/>
    <xf numFmtId="186" fontId="32" fillId="11" borderId="6" pivotButton="0" quotePrefix="0" xfId="0"/>
    <xf numFmtId="9" fontId="32" fillId="11" borderId="6" pivotButton="0" quotePrefix="0" xfId="0"/>
    <xf numFmtId="0" fontId="32" fillId="0" borderId="6" applyAlignment="1" pivotButton="0" quotePrefix="0" xfId="0">
      <alignment horizontal="center"/>
    </xf>
    <xf numFmtId="178" fontId="23" fillId="0" borderId="0" pivotButton="0" quotePrefix="0" xfId="1"/>
    <xf numFmtId="179" fontId="23" fillId="0" borderId="1" pivotButton="0" quotePrefix="0" xfId="2"/>
    <xf numFmtId="180" fontId="23" fillId="0" borderId="1" pivotButton="0" quotePrefix="0" xfId="1"/>
    <xf numFmtId="1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81" fontId="10" fillId="3" borderId="1" applyAlignment="1" pivotButton="0" quotePrefix="0" xfId="0">
      <alignment vertical="top" wrapText="1"/>
    </xf>
    <xf numFmtId="182" fontId="10" fillId="3" borderId="1" applyAlignment="1" pivotButton="0" quotePrefix="0" xfId="0">
      <alignment vertical="top" wrapText="1"/>
    </xf>
    <xf numFmtId="182" fontId="11" fillId="0" borderId="1" pivotButton="0" quotePrefix="0" xfId="0"/>
    <xf numFmtId="182" fontId="5" fillId="0" borderId="1" pivotButton="0" quotePrefix="0" xfId="0"/>
    <xf numFmtId="0" fontId="29" fillId="10" borderId="6" applyAlignment="1" pivotButton="0" quotePrefix="0" xfId="0">
      <alignment vertical="top"/>
    </xf>
    <xf numFmtId="185" fontId="29" fillId="10" borderId="6" applyAlignment="1" pivotButton="0" quotePrefix="0" xfId="0">
      <alignment vertical="top"/>
    </xf>
    <xf numFmtId="187" fontId="29" fillId="10" borderId="6" applyAlignment="1" pivotButton="0" quotePrefix="0" xfId="0">
      <alignment vertical="top"/>
    </xf>
    <xf numFmtId="0" fontId="29" fillId="10" borderId="6" applyAlignment="1" pivotButton="0" quotePrefix="0" xfId="0">
      <alignment vertical="top" wrapText="1"/>
    </xf>
    <xf numFmtId="187" fontId="32" fillId="11" borderId="6" pivotButton="0" quotePrefix="0" xfId="0"/>
    <xf numFmtId="1" fontId="32" fillId="11" borderId="6" pivotButton="0" quotePrefix="0" xfId="0"/>
    <xf numFmtId="188" fontId="32" fillId="11" borderId="6" pivotButton="0" quotePrefix="0" xfId="0"/>
    <xf numFmtId="187" fontId="28" fillId="0" borderId="6" pivotButton="0" quotePrefix="0" xfId="0"/>
    <xf numFmtId="1" fontId="28" fillId="0" borderId="6" pivotButton="0" quotePrefix="0" xfId="0"/>
    <xf numFmtId="185" fontId="28" fillId="11" borderId="6" pivotButton="0" quotePrefix="0" xfId="0"/>
    <xf numFmtId="187" fontId="28" fillId="11" borderId="6" pivotButton="0" quotePrefix="0" xfId="0"/>
    <xf numFmtId="1" fontId="28" fillId="11" borderId="6" pivotButton="0" quotePrefix="0" xfId="0"/>
  </cellXfs>
  <cellStyles count="3">
    <cellStyle name="Normal" xfId="0" builtinId="0"/>
    <cellStyle name="Millares" xfId="1" builtinId="3"/>
    <cellStyle name="Moneda" xfId="2" builtinId="4"/>
  </cellStyles>
  <dxfs count="56">
    <dxf>
      <font>
        <b val="1"/>
        <color rgb="FFFFFFFF"/>
      </font>
      <fill>
        <patternFill>
          <bgColor rgb="FFEE2424"/>
        </patternFill>
      </fill>
    </dxf>
    <dxf>
      <font>
        <b val="1"/>
        <color rgb="FF061530"/>
      </font>
      <fill>
        <patternFill>
          <bgColor rgb="FFFFC000"/>
        </patternFill>
      </fill>
    </dxf>
    <dxf>
      <font>
        <b val="1"/>
        <color rgb="FFFFFFFF"/>
      </font>
      <fill>
        <patternFill>
          <bgColor rgb="FF2BB673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  <color rgb="FFFFFFFF"/>
      </font>
      <fill>
        <patternFill>
          <bgColor rgb="FFEE2424"/>
        </patternFill>
      </fill>
    </dxf>
    <dxf>
      <font>
        <b val="1"/>
        <color rgb="FF061530"/>
      </font>
      <fill>
        <patternFill>
          <bgColor rgb="FFFF8A1F"/>
        </patternFill>
      </fill>
    </dxf>
    <dxf>
      <font>
        <b val="1"/>
        <color rgb="FF061530"/>
      </font>
      <fill>
        <patternFill>
          <bgColor rgb="FF7FD36B"/>
        </patternFill>
      </fill>
    </dxf>
    <dxf>
      <font>
        <b val="1"/>
        <color rgb="FFFFFFFF"/>
      </font>
      <fill>
        <patternFill>
          <bgColor rgb="FF1E9E4A"/>
        </patternFill>
      </fill>
    </dxf>
    <dxf>
      <font>
        <b val="1"/>
        <color rgb="FFFFFFFF"/>
      </font>
      <fill>
        <patternFill>
          <bgColor rgb="FFEE2424"/>
        </patternFill>
      </fill>
    </dxf>
    <dxf>
      <font>
        <b val="1"/>
        <color rgb="FF061530"/>
      </font>
      <fill>
        <patternFill>
          <bgColor rgb="FFFF8A1F"/>
        </patternFill>
      </fill>
    </dxf>
    <dxf>
      <font>
        <b val="1"/>
        <color rgb="FF061530"/>
      </font>
      <fill>
        <patternFill>
          <bgColor rgb="FF7FD36B"/>
        </patternFill>
      </fill>
    </dxf>
    <dxf>
      <font>
        <b val="1"/>
        <color rgb="FFFFFFFF"/>
      </font>
      <fill>
        <patternFill>
          <bgColor rgb="FF1E9E4A"/>
        </patternFill>
      </fill>
    </dxf>
    <dxf>
      <font>
        <b val="1"/>
        <color rgb="FFFFFFFF"/>
      </font>
      <fill>
        <patternFill>
          <bgColor rgb="FFEE2424"/>
        </patternFill>
      </fill>
    </dxf>
    <dxf>
      <font>
        <b val="1"/>
        <color rgb="FF061530"/>
      </font>
      <fill>
        <patternFill>
          <bgColor rgb="FFFF8A1F"/>
        </patternFill>
      </fill>
    </dxf>
    <dxf>
      <font>
        <b val="1"/>
        <color rgb="FF061530"/>
      </font>
      <fill>
        <patternFill>
          <bgColor rgb="FF7FD36B"/>
        </patternFill>
      </fill>
    </dxf>
    <dxf>
      <font>
        <b val="1"/>
        <color rgb="FFFFFFFF"/>
      </font>
      <fill>
        <patternFill>
          <bgColor rgb="FF1E9E4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  <color rgb="FFFFFFFF"/>
      </font>
      <fill>
        <patternFill>
          <bgColor rgb="FFEE2424"/>
        </patternFill>
      </fill>
    </dxf>
    <dxf>
      <font>
        <b val="1"/>
        <color rgb="FF061530"/>
      </font>
      <fill>
        <patternFill>
          <bgColor rgb="FFFFC000"/>
        </patternFill>
      </fill>
    </dxf>
    <dxf>
      <font>
        <b val="1"/>
        <color rgb="FFFFFFFF"/>
      </font>
      <fill>
        <patternFill>
          <bgColor rgb="FF2BB67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EE2424"/>
      <rgbColor rgb="FF00FF00"/>
      <rgbColor rgb="FF0000FF"/>
      <rgbColor rgb="FFFFFF00"/>
      <rgbColor rgb="FFFF00FF"/>
      <rgbColor rgb="FF00EDB6"/>
      <rgbColor rgb="FF9C0006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FCE"/>
      <rgbColor rgb="FFFFEB9C"/>
      <rgbColor rgb="FF7FD36B"/>
      <rgbColor rgb="FFFF99CC"/>
      <rgbColor rgb="FFCC99FF"/>
      <rgbColor rgb="FFFFC7CE"/>
      <rgbColor rgb="FF4F81BD"/>
      <rgbColor rgb="FF2BB673"/>
      <rgbColor rgb="FF98B855"/>
      <rgbColor rgb="FFFFC000"/>
      <rgbColor rgb="FFFF8A1F"/>
      <rgbColor rgb="FFFF6600"/>
      <rgbColor rgb="FF595959"/>
      <rgbColor rgb="FFB3B3B3"/>
      <rgbColor rgb="FF004990"/>
      <rgbColor rgb="FF1E9E4A"/>
      <rgbColor rgb="FF061530"/>
      <rgbColor rgb="FF0061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OI por región (m²) – vista seleccionada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'19_OI_Regiones'!C18</f>
            </strRef>
          </tx>
          <spPr>
            <a:ln xmlns:a="http://schemas.openxmlformats.org/drawingml/2006/main">
              <a:prstDash val="solid"/>
            </a:ln>
          </spPr>
          <cat>
            <numRef>
              <f>'19_OI_Regiones'!$B$19:$B$24</f>
            </numRef>
          </cat>
          <val>
            <numRef>
              <f>'19_OI_Regiones'!$C$19:$C$24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OI – Ingresos CY vs PY (COP MM)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'02_OI'!$G$14</f>
              <strCache>
                <ptCount val="1"/>
                <pt idx="0">
                  <v>Fuente gráfico: CY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s-CO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'02_OI'!$B$15:$B$26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'02_OI'!$G$15:$G$26</f>
              <numCache>
                <formatCode>#,##0</formatCode>
                <ptCount val="12"/>
                <pt idx="0">
                  <v>9968.165999999999</v>
                </pt>
                <pt idx="1">
                  <v>12767.714</v>
                </pt>
                <pt idx="2">
                  <v>14462.925</v>
                </pt>
                <pt idx="3">
                  <v>12270.448</v>
                </pt>
                <pt idx="4">
                  <v>27093.858</v>
                </pt>
                <pt idx="5">
                  <v>13652.194</v>
                </pt>
                <pt idx="6">
                  <v>11718.909</v>
                </pt>
                <pt idx="7">
                  <v>14500.72</v>
                </pt>
                <pt idx="8">
                  <v>13740.67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'02_OI'!$H$14</f>
              <strCache>
                <ptCount val="1"/>
                <pt idx="0">
                  <v>Fuente gráfico: PY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s-CO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'02_OI'!$B$15:$B$26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'02_OI'!$H$15:$H$26</f>
              <numCache>
                <formatCode>#,##0</formatCode>
                <ptCount val="12"/>
                <pt idx="0">
                  <v>7958.8</v>
                </pt>
                <pt idx="1">
                  <v>10536.7</v>
                </pt>
                <pt idx="2">
                  <v>12471.2</v>
                </pt>
                <pt idx="3">
                  <v>9577</v>
                </pt>
                <pt idx="4">
                  <v>8092</v>
                </pt>
                <pt idx="5">
                  <v>11810.8</v>
                </pt>
                <pt idx="6">
                  <v>7612.5</v>
                </pt>
                <pt idx="7">
                  <v>16772.6</v>
                </pt>
                <pt idx="8">
                  <v>10673.6</v>
                </pt>
                <pt idx="9">
                  <v>12723.1</v>
                </pt>
                <pt idx="10">
                  <v>12445.1</v>
                </pt>
                <pt idx="11">
                  <v>10462.4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8786581"/>
        <axId val="45150890"/>
      </barChart>
      <lineChart>
        <grouping val="standard"/>
        <varyColors val="0"/>
        <ser>
          <idx val="2"/>
          <order val="2"/>
          <tx>
            <strRef>
              <f>'02_OI'!$F$14</f>
              <strCache>
                <ptCount val="1"/>
                <pt idx="0">
                  <v>Margen CY %</v>
                </pt>
              </strCache>
            </strRef>
          </tx>
          <spPr>
            <a:ln xmlns:a="http://schemas.openxmlformats.org/drawingml/2006/main" w="28440">
              <a:solidFill>
                <a:srgbClr val="98B85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s-CO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'02_OI'!$B$15:$B$26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'02_OI'!$F$15:$F$26</f>
              <numCache>
                <formatCode>0.0%</formatCode>
                <ptCount val="12"/>
                <pt idx="0">
                  <v>0.251</v>
                </pt>
                <pt idx="1">
                  <v>0.254</v>
                </pt>
                <pt idx="2">
                  <v>0.261</v>
                </pt>
                <pt idx="3">
                  <v>0.257</v>
                </pt>
                <pt idx="4">
                  <v>0.209</v>
                </pt>
                <pt idx="5">
                  <v>0.285</v>
                </pt>
                <pt idx="6">
                  <v>0.273</v>
                </pt>
                <pt idx="7">
                  <v>0.268</v>
                </pt>
                <pt idx="8">
                  <v>0.271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77387969"/>
        <axId val="24005146"/>
      </lineChart>
      <catAx>
        <axId val="7878658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45150890"/>
        <crosses val="autoZero"/>
        <auto val="1"/>
        <lblAlgn val="ctr"/>
        <lblOffset val="100"/>
        <noMultiLvlLbl val="0"/>
      </catAx>
      <valAx>
        <axId val="4515089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lang="es-CO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COP MM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78786581"/>
        <crosses val="autoZero"/>
        <crossBetween val="between"/>
      </valAx>
      <catAx>
        <axId val="7738796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24005146"/>
        <crosses val="autoZero"/>
        <auto val="1"/>
        <lblAlgn val="ctr"/>
        <lblOffset val="100"/>
        <noMultiLvlLbl val="0"/>
      </catAx>
      <valAx>
        <axId val="24005146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77387969"/>
        <crosses val="max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s-CO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OI – Ingresos CY vs PY (COP MM)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'02_OI'!$G$14</f>
              <strCache>
                <ptCount val="1"/>
                <pt idx="0">
                  <v>Fuente gráfico: CY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CO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'02_OI'!$B$15:$B$26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'02_OI'!$G$15:$G$26</f>
              <numCache>
                <formatCode>#,##0</formatCode>
                <ptCount val="12"/>
                <pt idx="0">
                  <v>9968.165999999999</v>
                </pt>
                <pt idx="1">
                  <v>12767.714</v>
                </pt>
                <pt idx="2">
                  <v>14462.925</v>
                </pt>
                <pt idx="3">
                  <v>12270.448</v>
                </pt>
                <pt idx="4">
                  <v>27093.858</v>
                </pt>
                <pt idx="5">
                  <v>13652.194</v>
                </pt>
                <pt idx="6">
                  <v>11718.909</v>
                </pt>
                <pt idx="7">
                  <v>14500.72</v>
                </pt>
                <pt idx="8">
                  <v>13740.67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'02_OI'!$H$14</f>
              <strCache>
                <ptCount val="1"/>
                <pt idx="0">
                  <v>Fuente gráfico: PY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CO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'02_OI'!$B$15:$B$26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'02_OI'!$H$15:$H$26</f>
              <numCache>
                <formatCode>#,##0</formatCode>
                <ptCount val="12"/>
                <pt idx="0">
                  <v>7958.8</v>
                </pt>
                <pt idx="1">
                  <v>10536.7</v>
                </pt>
                <pt idx="2">
                  <v>12471.2</v>
                </pt>
                <pt idx="3">
                  <v>9577</v>
                </pt>
                <pt idx="4">
                  <v>8092</v>
                </pt>
                <pt idx="5">
                  <v>11810.8</v>
                </pt>
                <pt idx="6">
                  <v>7612.5</v>
                </pt>
                <pt idx="7">
                  <v>16772.6</v>
                </pt>
                <pt idx="8">
                  <v>10673.6</v>
                </pt>
                <pt idx="9">
                  <v>12723.1</v>
                </pt>
                <pt idx="10">
                  <v>12445.1</v>
                </pt>
                <pt idx="11">
                  <v>10462.4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883377"/>
        <axId val="23797562"/>
      </barChart>
      <lineChart>
        <grouping val="standard"/>
        <varyColors val="0"/>
        <ser>
          <idx val="2"/>
          <order val="2"/>
          <tx>
            <strRef>
              <f>'02_OI'!$F$14</f>
              <strCache>
                <ptCount val="1"/>
                <pt idx="0">
                  <v>Margen CY %</v>
                </pt>
              </strCache>
            </strRef>
          </tx>
          <spPr>
            <a:ln xmlns:a="http://schemas.openxmlformats.org/drawingml/2006/main" w="0"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CO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'02_OI'!$B$15:$B$26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'02_OI'!$F$15:$F$26</f>
              <numCache>
                <formatCode>0.0%</formatCode>
                <ptCount val="12"/>
                <pt idx="0">
                  <v>0.251</v>
                </pt>
                <pt idx="1">
                  <v>0.254</v>
                </pt>
                <pt idx="2">
                  <v>0.261</v>
                </pt>
                <pt idx="3">
                  <v>0.257</v>
                </pt>
                <pt idx="4">
                  <v>0.209</v>
                </pt>
                <pt idx="5">
                  <v>0.285</v>
                </pt>
                <pt idx="6">
                  <v>0.273</v>
                </pt>
                <pt idx="7">
                  <v>0.268</v>
                </pt>
                <pt idx="8">
                  <v>0.271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60784650"/>
        <axId val="98552100"/>
      </lineChart>
      <catAx>
        <axId val="4888337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23797562"/>
        <crosses val="autoZero"/>
        <auto val="1"/>
        <lblAlgn val="ctr"/>
        <lblOffset val="100"/>
        <noMultiLvlLbl val="0"/>
      </catAx>
      <valAx>
        <axId val="23797562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#,##0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48883377"/>
        <crosses val="autoZero"/>
        <crossBetween val="between"/>
      </valAx>
      <catAx>
        <axId val="6078465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98552100"/>
        <crosses val="autoZero"/>
        <auto val="1"/>
        <lblAlgn val="ctr"/>
        <lblOffset val="100"/>
        <noMultiLvlLbl val="0"/>
      </catAx>
      <valAx>
        <axId val="98552100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60784650"/>
        <crosses val="max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s-CO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OI – Ingresos CY vs PY (COP MM)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'02_OI'!G14</f>
            </strRef>
          </tx>
          <spPr>
            <a:ln xmlns:a="http://schemas.openxmlformats.org/drawingml/2006/main">
              <a:prstDash val="solid"/>
            </a:ln>
          </spPr>
          <cat>
            <numRef>
              <f>'02_OI'!$B$15:$B$26</f>
            </numRef>
          </cat>
          <val>
            <numRef>
              <f>'02_OI'!$G$15:$G$26</f>
            </numRef>
          </val>
        </ser>
        <ser>
          <idx val="1"/>
          <order val="1"/>
          <tx>
            <strRef>
              <f>'02_OI'!H14</f>
            </strRef>
          </tx>
          <spPr>
            <a:ln xmlns:a="http://schemas.openxmlformats.org/drawingml/2006/main">
              <a:prstDash val="solid"/>
            </a:ln>
          </spPr>
          <cat>
            <numRef>
              <f>'02_OI'!$B$15:$B$26</f>
            </numRef>
          </cat>
          <val>
            <numRef>
              <f>'02_OI'!$H$15:$H$26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'02_OI'!F14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'02_OI'!$F$15:$F$26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OI YTD por canal (m²)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'03_OI_Canal'!$H$4</f>
              <strCache>
                <ptCount val="1"/>
                <pt idx="0">
                  <v>OI YTD m² (RSM)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s-CO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'03_OI_Canal'!$A$5:$A$10</f>
              <strCache>
                <ptCount val="6"/>
                <pt idx="0">
                  <v>Industrial</v>
                </pt>
                <pt idx="1">
                  <v>Distribución</v>
                </pt>
                <pt idx="2">
                  <v>Otras Geografías</v>
                </pt>
                <pt idx="3">
                  <v>Cold Storage</v>
                </pt>
                <pt idx="4">
                  <v>Site Cali</v>
                </pt>
                <pt idx="5">
                  <v>Ventas Alternativas</v>
                </pt>
              </strCache>
            </strRef>
          </cat>
          <val>
            <numRef>
              <f>'03_OI_Canal'!$H$5:$H$10</f>
              <numCache>
                <formatCode>#,##0;\(#,##0\);\-</formatCode>
                <ptCount val="6"/>
                <pt idx="0">
                  <v>430568</v>
                </pt>
                <pt idx="1">
                  <v>236351</v>
                </pt>
                <pt idx="2">
                  <v>367237</v>
                </pt>
                <pt idx="3">
                  <v>36425</v>
                </pt>
                <pt idx="4">
                  <v>140132</v>
                </pt>
                <pt idx="5">
                  <v>58411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8461582"/>
        <axId val="4417853"/>
      </barChart>
      <catAx>
        <axId val="88461582"/>
        <scaling>
          <orientation val="minMax"/>
        </scaling>
        <delete val="0"/>
        <axPos val="l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4417853"/>
        <crosses val="autoZero"/>
        <auto val="1"/>
        <lblAlgn val="ctr"/>
        <lblOffset val="100"/>
        <noMultiLvlLbl val="0"/>
      </catAx>
      <valAx>
        <axId val="4417853"/>
        <scaling>
          <orientation val="minMax"/>
        </scaling>
        <delete val="0"/>
        <axPos val="b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;\(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88461582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OI YTD por canal (m²)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'03_OI_Canal'!$H$4</f>
              <strCache>
                <ptCount val="1"/>
                <pt idx="0">
                  <v>OI YTD m² (RSM)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CO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'03_OI_Canal'!$A$5:$A$10</f>
              <strCache>
                <ptCount val="6"/>
                <pt idx="0">
                  <v>Industrial</v>
                </pt>
                <pt idx="1">
                  <v>Distribución</v>
                </pt>
                <pt idx="2">
                  <v>Otras Geografías</v>
                </pt>
                <pt idx="3">
                  <v>Cold Storage</v>
                </pt>
                <pt idx="4">
                  <v>Site Cali</v>
                </pt>
                <pt idx="5">
                  <v>Ventas Alternativas</v>
                </pt>
              </strCache>
            </strRef>
          </cat>
          <val>
            <numRef>
              <f>'03_OI_Canal'!$H$5:$H$10</f>
              <numCache>
                <formatCode>#,##0;\(#,##0\);\-</formatCode>
                <ptCount val="6"/>
                <pt idx="0">
                  <v>430568</v>
                </pt>
                <pt idx="1">
                  <v>236351</v>
                </pt>
                <pt idx="2">
                  <v>367237</v>
                </pt>
                <pt idx="3">
                  <v>36425</v>
                </pt>
                <pt idx="4">
                  <v>140132</v>
                </pt>
                <pt idx="5">
                  <v>58411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1651821"/>
        <axId val="30617465"/>
      </barChart>
      <catAx>
        <axId val="3165182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30617465"/>
        <crosses val="autoZero"/>
        <auto val="1"/>
        <lblAlgn val="ctr"/>
        <lblOffset val="100"/>
        <noMultiLvlLbl val="0"/>
      </catAx>
      <valAx>
        <axId val="30617465"/>
        <scaling>
          <orientation val="minMax"/>
        </scaling>
        <delete val="0"/>
        <axPos val="b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#,##0;\(#,##0\);\-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3165182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OI YTD por canal anterior (m²)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'03_OI_Canal'!H4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'03_OI_Canal'!$A$5:$A$10</f>
            </numRef>
          </cat>
          <val>
            <numRef>
              <f>'03_OI_Canal'!$H$5:$H$10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OI YTD por canal (m²)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'22_Canales_Segmentos'!H42</f>
            </strRef>
          </tx>
          <spPr>
            <a:ln xmlns:a="http://schemas.openxmlformats.org/drawingml/2006/main">
              <a:prstDash val="solid"/>
            </a:ln>
          </spPr>
          <cat>
            <numRef>
              <f>'22_Canales_Segmentos'!$A$43:$A$45</f>
            </numRef>
          </cat>
          <val>
            <numRef>
              <f>'22_Canales_Segmentos'!$H$43:$H$45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vs Budget YTD por canal (m²)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'22_Canales_Segmentos'!J42</f>
            </strRef>
          </tx>
          <spPr>
            <a:ln xmlns:a="http://schemas.openxmlformats.org/drawingml/2006/main">
              <a:prstDash val="solid"/>
            </a:ln>
          </spPr>
          <cat>
            <numRef>
              <f>'22_Canales_Segmentos'!$A$43:$A$45</f>
            </numRef>
          </cat>
          <val>
            <numRef>
              <f>'22_Canales_Segmentos'!$J$43:$J$45</f>
            </numRef>
          </val>
        </ser>
        <ser>
          <idx val="1"/>
          <order val="1"/>
          <tx>
            <strRef>
              <f>'22_Canales_Segmentos'!K42</f>
            </strRef>
          </tx>
          <spPr>
            <a:ln xmlns:a="http://schemas.openxmlformats.org/drawingml/2006/main">
              <a:prstDash val="solid"/>
            </a:ln>
          </spPr>
          <cat>
            <numRef>
              <f>'22_Canales_Segmentos'!$A$43:$A$45</f>
            </numRef>
          </cat>
          <val>
            <numRef>
              <f>'22_Canales_Segmentos'!$K$43:$K$45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Presupuesto Junta vs ventas reales (m²)</a:t>
            </a:r>
          </a:p>
        </rich>
      </tx>
    </title>
    <plotArea>
      <lineChart>
        <grouping val="standard"/>
        <ser>
          <idx val="0"/>
          <order val="0"/>
          <tx>
            <strRef>
              <f>'21_Ppto_Junta'!A9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'21_Ppto_Junta'!$B$7:$M$7</f>
            </numRef>
          </cat>
          <val>
            <numRef>
              <f>'21_Ppto_Junta'!$B$9:$M$9</f>
            </numRef>
          </val>
        </ser>
        <ser>
          <idx val="1"/>
          <order val="1"/>
          <tx>
            <strRef>
              <f>'21_Ppto_Junta'!A10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'21_Ppto_Junta'!$B$7:$M$7</f>
            </numRef>
          </cat>
          <val>
            <numRef>
              <f>'21_Ppto_Junta'!$B$10:$M$10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Backlog CY vs PY (COP MM)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'04_Backlog'!$C$13</f>
              <strCache>
                <ptCount val="1"/>
                <pt idx="0">
                  <v>Backlog CY (COP MM)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s-CO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'04_Backlog'!$B$14:$B$25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'04_Backlog'!$C$14:$C$25</f>
              <numCache>
                <formatCode>#,##0</formatCode>
                <ptCount val="12"/>
                <pt idx="0">
                  <v>35566.1</v>
                </pt>
                <pt idx="1">
                  <v>36104.5</v>
                </pt>
                <pt idx="2">
                  <v>39420.9</v>
                </pt>
                <pt idx="3">
                  <v>38886.8</v>
                </pt>
                <pt idx="4">
                  <v>55927.6</v>
                </pt>
                <pt idx="5">
                  <v>56477.9</v>
                </pt>
                <pt idx="6">
                  <v>57136.5</v>
                </pt>
                <pt idx="7">
                  <v>51456.1</v>
                </pt>
                <pt idx="8">
                  <v>50189</v>
                </pt>
                <pt idx="9">
                  <v>49836</v>
                </pt>
              </numCache>
            </numRef>
          </val>
        </ser>
        <ser>
          <idx val="1"/>
          <order val="1"/>
          <tx>
            <strRef>
              <f>'04_Backlog'!$D$13</f>
              <strCache>
                <ptCount val="1"/>
                <pt idx="0">
                  <v>Backlog PY (COP MM)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s-CO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'04_Backlog'!$B$14:$B$25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'04_Backlog'!$D$14:$D$25</f>
              <numCache>
                <formatCode>#,##0</formatCode>
                <ptCount val="12"/>
                <pt idx="0">
                  <v>30422.1</v>
                </pt>
                <pt idx="1">
                  <v>31461.6</v>
                </pt>
                <pt idx="2">
                  <v>36223.7</v>
                </pt>
                <pt idx="3">
                  <v>34454.1</v>
                </pt>
                <pt idx="4">
                  <v>31842.8</v>
                </pt>
                <pt idx="5">
                  <v>33251.2</v>
                </pt>
                <pt idx="6">
                  <v>30680.1</v>
                </pt>
                <pt idx="7">
                  <v>34736.9</v>
                </pt>
                <pt idx="8">
                  <v>33247.5</v>
                </pt>
                <pt idx="9">
                  <v>35224.5</v>
                </pt>
                <pt idx="10">
                  <v>34456</v>
                </pt>
                <pt idx="11">
                  <v>35476.9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8910694"/>
        <axId val="68423390"/>
      </barChart>
      <catAx>
        <axId val="2891069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68423390"/>
        <crosses val="autoZero"/>
        <auto val="1"/>
        <lblAlgn val="ctr"/>
        <lblOffset val="100"/>
        <noMultiLvlLbl val="0"/>
      </catAx>
      <valAx>
        <axId val="6842339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2891069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s-CO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Backlog CY vs PY (COP MM)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'04_Backlog'!$C$13</f>
              <strCache>
                <ptCount val="1"/>
                <pt idx="0">
                  <v>Backlog CY (COP MM)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CO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'04_Backlog'!$B$14:$B$25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'04_Backlog'!$C$14:$C$25</f>
              <numCache>
                <formatCode>#,##0</formatCode>
                <ptCount val="12"/>
                <pt idx="0">
                  <v>35566.1</v>
                </pt>
                <pt idx="1">
                  <v>36104.5</v>
                </pt>
                <pt idx="2">
                  <v>39420.9</v>
                </pt>
                <pt idx="3">
                  <v>38886.8</v>
                </pt>
                <pt idx="4">
                  <v>55927.6</v>
                </pt>
                <pt idx="5">
                  <v>56477.9</v>
                </pt>
                <pt idx="6">
                  <v>57136.5</v>
                </pt>
                <pt idx="7">
                  <v>51456.1</v>
                </pt>
                <pt idx="8">
                  <v>50189</v>
                </pt>
                <pt idx="9">
                  <v>49836</v>
                </pt>
              </numCache>
            </numRef>
          </val>
        </ser>
        <ser>
          <idx val="1"/>
          <order val="1"/>
          <tx>
            <strRef>
              <f>'04_Backlog'!$D$13</f>
              <strCache>
                <ptCount val="1"/>
                <pt idx="0">
                  <v>Backlog PY (COP MM)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CO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'04_Backlog'!$B$14:$B$25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'04_Backlog'!$D$14:$D$25</f>
              <numCache>
                <formatCode>#,##0</formatCode>
                <ptCount val="12"/>
                <pt idx="0">
                  <v>30422.1</v>
                </pt>
                <pt idx="1">
                  <v>31461.6</v>
                </pt>
                <pt idx="2">
                  <v>36223.7</v>
                </pt>
                <pt idx="3">
                  <v>34454.1</v>
                </pt>
                <pt idx="4">
                  <v>31842.8</v>
                </pt>
                <pt idx="5">
                  <v>33251.2</v>
                </pt>
                <pt idx="6">
                  <v>30680.1</v>
                </pt>
                <pt idx="7">
                  <v>34736.9</v>
                </pt>
                <pt idx="8">
                  <v>33247.5</v>
                </pt>
                <pt idx="9">
                  <v>35224.5</v>
                </pt>
                <pt idx="10">
                  <v>34456</v>
                </pt>
                <pt idx="11">
                  <v>35476.9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9230118"/>
        <axId val="59544696"/>
      </barChart>
      <catAx>
        <axId val="2923011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59544696"/>
        <crosses val="autoZero"/>
        <auto val="1"/>
        <lblAlgn val="ctr"/>
        <lblOffset val="100"/>
        <noMultiLvlLbl val="0"/>
      </catAx>
      <valAx>
        <axId val="59544696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#,##0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2923011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s-CO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Backlog CY vs PY (COP MM)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'04_Backlog'!C13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'04_Backlog'!$B$14:$B$25</f>
            </numRef>
          </cat>
          <val>
            <numRef>
              <f>'04_Backlog'!$C$14:$C$25</f>
            </numRef>
          </val>
        </ser>
        <ser>
          <idx val="1"/>
          <order val="1"/>
          <tx>
            <strRef>
              <f>'04_Backlog'!D13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'04_Backlog'!$B$14:$B$25</f>
            </numRef>
          </cat>
          <val>
            <numRef>
              <f>'04_Backlog'!$D$14:$D$25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Backlog por canal (m²)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'05_Backlog_Canal'!$B$4</f>
              <strCache>
                <ptCount val="1"/>
                <pt idx="0">
                  <v>Backlog CM (m²) – RSM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s-CO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'05_Backlog_Canal'!$A$5:$A$10</f>
              <strCache>
                <ptCount val="6"/>
                <pt idx="0">
                  <v>Industrial</v>
                </pt>
                <pt idx="1">
                  <v>Distribución</v>
                </pt>
                <pt idx="2">
                  <v>Otras Geografías</v>
                </pt>
                <pt idx="3">
                  <v>Cold Storage</v>
                </pt>
                <pt idx="4">
                  <v>Site Cali</v>
                </pt>
                <pt idx="5">
                  <v>Ventas Alternativas</v>
                </pt>
              </strCache>
            </strRef>
          </cat>
          <val>
            <numRef>
              <f>'05_Backlog_Canal'!$B$5:$B$10</f>
              <numCache>
                <formatCode>#,##0;\(#,##0\);\-</formatCode>
                <ptCount val="6"/>
                <pt idx="0">
                  <v>240448</v>
                </pt>
                <pt idx="1">
                  <v>62499</v>
                </pt>
                <pt idx="2">
                  <v>166377</v>
                </pt>
                <pt idx="3">
                  <v>28642</v>
                </pt>
                <pt idx="4">
                  <v>21774</v>
                </pt>
                <pt idx="5">
                  <v>5789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6833809"/>
        <axId val="81167427"/>
      </barChart>
      <catAx>
        <axId val="36833809"/>
        <scaling>
          <orientation val="minMax"/>
        </scaling>
        <delete val="0"/>
        <axPos val="l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81167427"/>
        <crosses val="autoZero"/>
        <auto val="1"/>
        <lblAlgn val="ctr"/>
        <lblOffset val="100"/>
        <noMultiLvlLbl val="0"/>
      </catAx>
      <valAx>
        <axId val="81167427"/>
        <scaling>
          <orientation val="minMax"/>
        </scaling>
        <delete val="0"/>
        <axPos val="b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;\(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36833809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Backlog por canal (m²)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'05_Backlog_Canal'!$B$4</f>
              <strCache>
                <ptCount val="1"/>
                <pt idx="0">
                  <v>Backlog CM (m²) – RSM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CO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'05_Backlog_Canal'!$A$5:$A$10</f>
              <strCache>
                <ptCount val="6"/>
                <pt idx="0">
                  <v>Industrial</v>
                </pt>
                <pt idx="1">
                  <v>Distribución</v>
                </pt>
                <pt idx="2">
                  <v>Otras Geografías</v>
                </pt>
                <pt idx="3">
                  <v>Cold Storage</v>
                </pt>
                <pt idx="4">
                  <v>Site Cali</v>
                </pt>
                <pt idx="5">
                  <v>Ventas Alternativas</v>
                </pt>
              </strCache>
            </strRef>
          </cat>
          <val>
            <numRef>
              <f>'05_Backlog_Canal'!$B$5:$B$10</f>
              <numCache>
                <formatCode>#,##0;\(#,##0\);\-</formatCode>
                <ptCount val="6"/>
                <pt idx="0">
                  <v>240448</v>
                </pt>
                <pt idx="1">
                  <v>62499</v>
                </pt>
                <pt idx="2">
                  <v>166377</v>
                </pt>
                <pt idx="3">
                  <v>28642</v>
                </pt>
                <pt idx="4">
                  <v>21774</v>
                </pt>
                <pt idx="5">
                  <v>5789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9896410"/>
        <axId val="42037312"/>
      </barChart>
      <catAx>
        <axId val="8989641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42037312"/>
        <crosses val="autoZero"/>
        <auto val="1"/>
        <lblAlgn val="ctr"/>
        <lblOffset val="100"/>
        <noMultiLvlLbl val="0"/>
      </catAx>
      <valAx>
        <axId val="42037312"/>
        <scaling>
          <orientation val="minMax"/>
        </scaling>
        <delete val="0"/>
        <axPos val="b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#,##0;\(#,##0\);\-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89896410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Backlog por canal anterior (m²)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'05_Backlog_Canal'!B4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'05_Backlog_Canal'!$A$5:$A$10</f>
            </numRef>
          </cat>
          <val>
            <numRef>
              <f>'05_Backlog_Canal'!$B$5:$B$10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OI 2026 – Real vs Forecast (m²)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'06_Perf_Forecast'!$I$6</f>
              <strCache>
                <ptCount val="1"/>
                <pt idx="0">
                  <v>Fuente gráfico: Real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s-CO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'06_Perf_Forecast'!$B$7:$B$18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'06_Perf_Forecast'!$I$7:$I$18</f>
              <numCache>
                <formatCode>#,##0;\(#,##0\);\-</formatCode>
                <ptCount val="12"/>
                <pt idx="0">
                  <v>104582</v>
                </pt>
                <pt idx="1">
                  <v>127405</v>
                </pt>
                <pt idx="2">
                  <v>152049</v>
                </pt>
                <pt idx="3">
                  <v>126530</v>
                </pt>
                <pt idx="4">
                  <v>181126</v>
                </pt>
                <pt idx="5">
                  <v>124406</v>
                </pt>
                <pt idx="6">
                  <v>114336</v>
                </pt>
                <pt idx="7">
                  <v>151623</v>
                </pt>
                <pt idx="8">
                  <v>146446</v>
                </pt>
                <pt idx="9">
                  <v>160547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'06_Perf_Forecast'!$J$6</f>
              <strCache>
                <ptCount val="1"/>
                <pt idx="0">
                  <v>Fuente gráfico: Forecast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s-CO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'06_Perf_Forecast'!$B$7:$B$18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'06_Perf_Forecast'!$J$7:$J$18</f>
              <numCache>
                <formatCode>#,##0;\(#,##0\);\-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140000</v>
                </pt>
                <pt idx="11">
                  <v>122000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6220191"/>
        <axId val="33058423"/>
      </barChart>
      <catAx>
        <axId val="1622019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33058423"/>
        <crosses val="autoZero"/>
        <auto val="1"/>
        <lblAlgn val="ctr"/>
        <lblOffset val="100"/>
        <noMultiLvlLbl val="0"/>
      </catAx>
      <valAx>
        <axId val="3305842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;\(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1622019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s-CO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OI 2026 – Real vs Forecast (m²)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'06_Perf_Forecast'!$I$6</f>
              <strCache>
                <ptCount val="1"/>
                <pt idx="0">
                  <v>Fuente gráfico: Real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CO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'06_Perf_Forecast'!$B$7:$B$18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'06_Perf_Forecast'!$I$7:$I$18</f>
              <numCache>
                <formatCode>#,##0;\(#,##0\);\-</formatCode>
                <ptCount val="12"/>
                <pt idx="0">
                  <v>104582</v>
                </pt>
                <pt idx="1">
                  <v>127405</v>
                </pt>
                <pt idx="2">
                  <v>152049</v>
                </pt>
                <pt idx="3">
                  <v>126530</v>
                </pt>
                <pt idx="4">
                  <v>181126</v>
                </pt>
                <pt idx="5">
                  <v>124406</v>
                </pt>
                <pt idx="6">
                  <v>114336</v>
                </pt>
                <pt idx="7">
                  <v>151623</v>
                </pt>
                <pt idx="8">
                  <v>146446</v>
                </pt>
                <pt idx="9">
                  <v>160547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'06_Perf_Forecast'!$J$6</f>
              <strCache>
                <ptCount val="1"/>
                <pt idx="0">
                  <v>Fuente gráfico: Forecast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CO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'06_Perf_Forecast'!$B$7:$B$18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'06_Perf_Forecast'!$J$7:$J$18</f>
              <numCache>
                <formatCode>#,##0;\(#,##0\);\-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140000</v>
                </pt>
                <pt idx="11">
                  <v>122000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9556155"/>
        <axId val="70779994"/>
      </barChart>
      <catAx>
        <axId val="6955615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70779994"/>
        <crosses val="autoZero"/>
        <auto val="1"/>
        <lblAlgn val="ctr"/>
        <lblOffset val="100"/>
        <noMultiLvlLbl val="0"/>
      </catAx>
      <valAx>
        <axId val="70779994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#,##0;\(#,##0\);\-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6955615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s-CO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OI 2026 – Real vs Forecast (m²)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'06_Perf_Forecast'!I6</f>
            </strRef>
          </tx>
          <spPr>
            <a:ln xmlns:a="http://schemas.openxmlformats.org/drawingml/2006/main">
              <a:prstDash val="solid"/>
            </a:ln>
          </spPr>
          <cat>
            <numRef>
              <f>'06_Perf_Forecast'!$B$7:$B$18</f>
            </numRef>
          </cat>
          <val>
            <numRef>
              <f>'06_Perf_Forecast'!$I$7:$I$18</f>
            </numRef>
          </val>
        </ser>
        <ser>
          <idx val="1"/>
          <order val="1"/>
          <tx>
            <strRef>
              <f>'06_Perf_Forecast'!J6</f>
            </strRef>
          </tx>
          <spPr>
            <a:ln xmlns:a="http://schemas.openxmlformats.org/drawingml/2006/main">
              <a:prstDash val="solid"/>
            </a:ln>
          </spPr>
          <cat>
            <numRef>
              <f>'06_Perf_Forecast'!$B$7:$B$18</f>
            </numRef>
          </cat>
          <val>
            <numRef>
              <f>'06_Perf_Forecast'!$J$7:$J$18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por canal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RSM_Resumen_Canales!$R$4</f>
              <strCache>
                <ptCount val="1"/>
                <pt idx="0">
                  <v>% Cumpl.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s-CO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RSM_Resumen_Canales!$Q$5:$Q$10</f>
              <strCache>
                <ptCount val="6"/>
                <pt idx="0">
                  <v>Alternative Sales</v>
                </pt>
                <pt idx="1">
                  <v>Site Cali</v>
                </pt>
                <pt idx="2">
                  <v>Cold Storage</v>
                </pt>
                <pt idx="3">
                  <v>Distribution</v>
                </pt>
                <pt idx="4">
                  <v>Other Geographies</v>
                </pt>
                <pt idx="5">
                  <v>Industrial</v>
                </pt>
              </strCache>
            </strRef>
          </cat>
          <val>
            <numRef>
              <f>RSM_Resumen_Canales!$R$5:$R$10</f>
              <numCache>
                <formatCode>0%</formatCode>
                <ptCount val="6"/>
                <pt idx="0">
                  <v>1.530373831775701</v>
                </pt>
                <pt idx="1">
                  <v>0.9574630347401665</v>
                </pt>
                <pt idx="2">
                  <v>0.9191</v>
                </pt>
                <pt idx="3">
                  <v>0.9134570504257135</v>
                </pt>
                <pt idx="4">
                  <v>0.7886259929453535</v>
                </pt>
                <pt idx="5">
                  <v>0.7650069060870716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768161"/>
        <axId val="29811400"/>
      </barChart>
      <catAx>
        <axId val="48768161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29811400"/>
        <crosses val="autoZero"/>
        <auto val="1"/>
        <lblAlgn val="ctr"/>
        <lblOffset val="100"/>
        <noMultiLvlLbl val="0"/>
      </catAx>
      <valAx>
        <axId val="29811400"/>
        <scaling>
          <orientation val="minMax"/>
        </scaling>
        <delete val="0"/>
        <axPos val="t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4876816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Sales vs Budget (k m²) y margen de backlog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RSM_Resumen_Canales!$B$29</f>
              <strCache>
                <ptCount val="1"/>
                <pt idx="0">
                  <v>Ventas YTD (k m²)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CO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RSM_Resumen_Canales!$A$30:$A$35</f>
              <strCache>
                <ptCount val="6"/>
                <pt idx="0">
                  <v>Industrial</v>
                </pt>
                <pt idx="1">
                  <v>Distribution</v>
                </pt>
                <pt idx="2">
                  <v>Other Geographies</v>
                </pt>
                <pt idx="3">
                  <v>Cold Storage</v>
                </pt>
                <pt idx="4">
                  <v>Site Cali</v>
                </pt>
                <pt idx="5">
                  <v>Alternative Sales</v>
                </pt>
              </strCache>
            </strRef>
          </cat>
          <val>
            <numRef>
              <f>RSM_Resumen_Canales!$B$30:$B$35</f>
              <numCache>
                <formatCode>#,##0.0</formatCode>
                <ptCount val="6"/>
                <pt idx="0">
                  <v>339.588</v>
                </pt>
                <pt idx="1">
                  <v>227.016</v>
                </pt>
                <pt idx="2">
                  <v>306.076</v>
                </pt>
                <pt idx="3">
                  <v>9.191000000000001</v>
                </pt>
                <pt idx="4">
                  <v>106.715</v>
                </pt>
                <pt idx="5">
                  <v>69.43000000000001</v>
                </pt>
              </numCache>
            </numRef>
          </val>
        </ser>
        <ser>
          <idx val="1"/>
          <order val="1"/>
          <tx>
            <strRef>
              <f>RSM_Resumen_Canales!$C$29</f>
              <strCache>
                <ptCount val="1"/>
                <pt idx="0">
                  <v>Budget YTD (k m²)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CO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RSM_Resumen_Canales!$A$30:$A$35</f>
              <strCache>
                <ptCount val="6"/>
                <pt idx="0">
                  <v>Industrial</v>
                </pt>
                <pt idx="1">
                  <v>Distribution</v>
                </pt>
                <pt idx="2">
                  <v>Other Geographies</v>
                </pt>
                <pt idx="3">
                  <v>Cold Storage</v>
                </pt>
                <pt idx="4">
                  <v>Site Cali</v>
                </pt>
                <pt idx="5">
                  <v>Alternative Sales</v>
                </pt>
              </strCache>
            </strRef>
          </cat>
          <val>
            <numRef>
              <f>RSM_Resumen_Canales!$C$30:$C$35</f>
              <numCache>
                <formatCode>#,##0.0</formatCode>
                <ptCount val="6"/>
                <pt idx="0">
                  <v>443.901875</v>
                </pt>
                <pt idx="1">
                  <v>248.524</v>
                </pt>
                <pt idx="2">
                  <v>388.113</v>
                </pt>
                <pt idx="3">
                  <v>10</v>
                </pt>
                <pt idx="4">
                  <v>111.456</v>
                </pt>
                <pt idx="5">
                  <v>45.368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052875"/>
        <axId val="40399631"/>
      </barChart>
      <lineChart>
        <grouping val="standard"/>
        <varyColors val="0"/>
        <ser>
          <idx val="2"/>
          <order val="2"/>
          <tx>
            <strRef>
              <f>RSM_Resumen_Canales!$D$29</f>
              <strCache>
                <ptCount val="1"/>
                <pt idx="0">
                  <v>Margen Sep-25 (PY)</v>
                </pt>
              </strCache>
            </strRef>
          </tx>
          <spPr>
            <a:ln xmlns:a="http://schemas.openxmlformats.org/drawingml/2006/main" w="0"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CO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RSM_Resumen_Canales!$A$30:$A$35</f>
              <strCache>
                <ptCount val="6"/>
                <pt idx="0">
                  <v>Industrial</v>
                </pt>
                <pt idx="1">
                  <v>Distribution</v>
                </pt>
                <pt idx="2">
                  <v>Other Geographies</v>
                </pt>
                <pt idx="3">
                  <v>Cold Storage</v>
                </pt>
                <pt idx="4">
                  <v>Site Cali</v>
                </pt>
                <pt idx="5">
                  <v>Alternative Sales</v>
                </pt>
              </strCache>
            </strRef>
          </cat>
          <val>
            <numRef>
              <f>RSM_Resumen_Canales!$D$30:$D$35</f>
              <numCache>
                <formatCode>0.0%</formatCode>
                <ptCount val="6"/>
                <pt idx="0">
                  <v>0.286920827517033</v>
                </pt>
                <pt idx="1">
                  <v>0.270100403669289</v>
                </pt>
                <pt idx="2">
                  <v>0.104274012878321</v>
                </pt>
                <pt idx="3">
                  <v>0.386802424242424</v>
                </pt>
                <pt idx="4">
                  <v>0</v>
                </pt>
                <pt idx="5">
                  <v>0.36956933853474</v>
                </pt>
              </numCache>
            </numRef>
          </val>
          <smooth val="1"/>
        </ser>
        <ser>
          <idx val="3"/>
          <order val="3"/>
          <tx>
            <strRef>
              <f>RSM_Resumen_Canales!$E$29</f>
              <strCache>
                <ptCount val="1"/>
                <pt idx="0">
                  <v>Margen Sep-26 (CM)</v>
                </pt>
              </strCache>
            </strRef>
          </tx>
          <spPr>
            <a:ln xmlns:a="http://schemas.openxmlformats.org/drawingml/2006/main" w="0"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CO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RSM_Resumen_Canales!$A$30:$A$35</f>
              <strCache>
                <ptCount val="6"/>
                <pt idx="0">
                  <v>Industrial</v>
                </pt>
                <pt idx="1">
                  <v>Distribution</v>
                </pt>
                <pt idx="2">
                  <v>Other Geographies</v>
                </pt>
                <pt idx="3">
                  <v>Cold Storage</v>
                </pt>
                <pt idx="4">
                  <v>Site Cali</v>
                </pt>
                <pt idx="5">
                  <v>Alternative Sales</v>
                </pt>
              </strCache>
            </strRef>
          </cat>
          <val>
            <numRef>
              <f>RSM_Resumen_Canales!$E$30:$E$35</f>
              <numCache>
                <formatCode>0.0%</formatCode>
                <ptCount val="6"/>
                <pt idx="0">
                  <v>0.33117135762134</v>
                </pt>
                <pt idx="1">
                  <v>0.29966955928374</v>
                </pt>
                <pt idx="2">
                  <v>0.14624363476804</v>
                </pt>
                <pt idx="3">
                  <v>0.280583770053961</v>
                </pt>
                <pt idx="4">
                  <v>0.367735983388227</v>
                </pt>
                <pt idx="5">
                  <v>0.452758855596467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5181783"/>
        <axId val="71967627"/>
      </lineChart>
      <catAx>
        <axId val="20528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40399631"/>
        <crosses val="autoZero"/>
        <auto val="1"/>
        <lblAlgn val="ctr"/>
        <lblOffset val="100"/>
        <noMultiLvlLbl val="0"/>
      </catAx>
      <valAx>
        <axId val="40399631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#,##0.0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2052875"/>
        <crosses val="autoZero"/>
        <crossBetween val="between"/>
      </valAx>
      <catAx>
        <axId val="518178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71967627"/>
        <crosses val="autoZero"/>
        <auto val="1"/>
        <lblAlgn val="ctr"/>
        <lblOffset val="100"/>
        <noMultiLvlLbl val="0"/>
      </catAx>
      <valAx>
        <axId val="71967627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5181783"/>
        <crosses val="max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s-CO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Budget Junta (k m²) y margen de backlog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'RSM_Resumen_Canales'!B29</f>
            </strRef>
          </tx>
          <spPr>
            <a:ln xmlns:a="http://schemas.openxmlformats.org/drawingml/2006/main">
              <a:prstDash val="solid"/>
            </a:ln>
          </spPr>
          <cat>
            <numRef>
              <f>'RSM_Resumen_Canales'!$A$30:$A$35</f>
            </numRef>
          </cat>
          <val>
            <numRef>
              <f>'RSM_Resumen_Canales'!$B$30:$B$35</f>
            </numRef>
          </val>
        </ser>
        <ser>
          <idx val="1"/>
          <order val="1"/>
          <tx>
            <strRef>
              <f>'RSM_Resumen_Canales'!C29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'RSM_Resumen_Canales'!$A$30:$A$35</f>
            </numRef>
          </cat>
          <val>
            <numRef>
              <f>'RSM_Resumen_Canales'!$C$30:$C$35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'RSM_Resumen_Canales'!E29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'RSM_Resumen_Canales'!$E$30:$E$35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Cumplimiento budget por canal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'RSM_Resumen_Canales'!R4</f>
            </strRef>
          </tx>
          <spPr>
            <a:ln xmlns:a="http://schemas.openxmlformats.org/drawingml/2006/main">
              <a:prstDash val="solid"/>
            </a:ln>
          </spPr>
          <cat>
            <numRef>
              <f>'RSM_Resumen_Canales'!$Q$5:$Q$10</f>
            </numRef>
          </cat>
          <val>
            <numRef>
              <f>'RSM_Resumen_Canales'!$R$5:$R$10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– Industrial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'09_RSM_Industrial'!$N$4</f>
              <strCache>
                <ptCount val="1"/>
                <pt idx="0">
                  <v>% Cumpl.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s-CO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'09_RSM_Industrial'!$M$5:$M$13</f>
              <strCache>
                <ptCount val="7"/>
                <pt idx="0">
                  <v>Ana I. Arias</v>
                </pt>
                <pt idx="1">
                  <v>Julio C. Guerrero</v>
                </pt>
                <pt idx="2">
                  <v>Diego A. Calderón</v>
                </pt>
                <pt idx="3">
                  <v>Ejec. Zona Norte</v>
                </pt>
                <pt idx="4">
                  <v>Yolanda Candela</v>
                </pt>
                <pt idx="5">
                  <v>León A. Naranjo</v>
                </pt>
                <pt idx="6">
                  <v>Ejec. Zona Bogotá</v>
                </pt>
              </strCache>
            </strRef>
          </cat>
          <val>
            <numRef>
              <f>'09_RSM_Industrial'!$N$5:$N$13</f>
              <numCache>
                <formatCode>0%</formatCode>
                <ptCount val="9"/>
                <pt idx="0">
                  <v>1.68727811006944</v>
                </pt>
                <pt idx="1">
                  <v>1.402423503926347</v>
                </pt>
                <pt idx="2">
                  <v>0.8200304602888087</v>
                </pt>
                <pt idx="3">
                  <v>0.5507212365843738</v>
                </pt>
                <pt idx="4">
                  <v>0.4788444703822585</v>
                </pt>
                <pt idx="5">
                  <v>0.03281133482475764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9737834"/>
        <axId val="68425007"/>
      </barChart>
      <catAx>
        <axId val="19737834"/>
        <scaling>
          <orientation val="maxMin"/>
        </scaling>
        <delete val="0"/>
        <axPos val="l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68425007"/>
        <crosses val="autoZero"/>
        <auto val="1"/>
        <lblAlgn val="ctr"/>
        <lblOffset val="100"/>
        <noMultiLvlLbl val="0"/>
      </catAx>
      <valAx>
        <axId val="68425007"/>
        <scaling>
          <orientation val="minMax"/>
        </scaling>
        <delete val="0"/>
        <axPos val="t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19737834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por RSM (detalle interno)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'09_RSM_Industrial'!$N$4</f>
              <strCache>
                <ptCount val="1"/>
                <pt idx="0">
                  <v>% Cumpl.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CO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'09_RSM_Industrial'!$M$5:$M$13</f>
              <strCache>
                <ptCount val="7"/>
                <pt idx="0">
                  <v>Ana I. Arias</v>
                </pt>
                <pt idx="1">
                  <v>Julio C. Guerrero</v>
                </pt>
                <pt idx="2">
                  <v>Diego A. Calderón</v>
                </pt>
                <pt idx="3">
                  <v>Ejec. Zona Norte</v>
                </pt>
                <pt idx="4">
                  <v>Yolanda Candela</v>
                </pt>
                <pt idx="5">
                  <v>León A. Naranjo</v>
                </pt>
                <pt idx="6">
                  <v>Ejec. Zona Bogotá</v>
                </pt>
              </strCache>
            </strRef>
          </cat>
          <val>
            <numRef>
              <f>'09_RSM_Industrial'!$N$5:$N$13</f>
              <numCache>
                <formatCode>0%</formatCode>
                <ptCount val="9"/>
                <pt idx="0">
                  <v>1.68727811006944</v>
                </pt>
                <pt idx="1">
                  <v>1.402423503926347</v>
                </pt>
                <pt idx="2">
                  <v>0.8200304602888087</v>
                </pt>
                <pt idx="3">
                  <v>0.5507212365843738</v>
                </pt>
                <pt idx="4">
                  <v>0.4788444703822585</v>
                </pt>
                <pt idx="5">
                  <v>0.03281133482475764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9161530"/>
        <axId val="81790884"/>
      </barChart>
      <catAx>
        <axId val="39161530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81790884"/>
        <crosses val="autoZero"/>
        <auto val="1"/>
        <lblAlgn val="ctr"/>
        <lblOffset val="100"/>
        <noMultiLvlLbl val="0"/>
      </catAx>
      <valAx>
        <axId val="81790884"/>
        <scaling>
          <orientation val="minMax"/>
        </scaling>
        <delete val="0"/>
        <axPos val="t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39161530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Cumplimiento budget por RSM (detalle interno)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'09_RSM_Industrial'!N4</f>
            </strRef>
          </tx>
          <spPr>
            <a:ln xmlns:a="http://schemas.openxmlformats.org/drawingml/2006/main">
              <a:prstDash val="solid"/>
            </a:ln>
          </spPr>
          <cat>
            <numRef>
              <f>'09_RSM_Industrial'!$M$5:$M$13</f>
            </numRef>
          </cat>
          <val>
            <numRef>
              <f>'09_RSM_Industrial'!$N$5:$N$13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– Distribución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'10_RSM_Distribucion'!$N$4</f>
              <strCache>
                <ptCount val="1"/>
                <pt idx="0">
                  <v>% Cumpl.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s-CO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'10_RSM_Distribucion'!$M$5:$M$14</f>
              <strCache>
                <ptCount val="10"/>
                <pt idx="0">
                  <v>Ejec. Eje Cafetero</v>
                </pt>
                <pt idx="1">
                  <v>Ejec. Ventas Sur</v>
                </pt>
                <pt idx="2">
                  <v>Yolanda Candela</v>
                </pt>
                <pt idx="3">
                  <v>Mónica A. García</v>
                </pt>
                <pt idx="4">
                  <v>Eidy J. Pérez</v>
                </pt>
                <pt idx="5">
                  <v>Edwar A. Salazar</v>
                </pt>
                <pt idx="6">
                  <v>Henry A. Acosta</v>
                </pt>
                <pt idx="7">
                  <v>Erwin A. Ríos</v>
                </pt>
                <pt idx="8">
                  <v>Ronald Valenzuela</v>
                </pt>
                <pt idx="9">
                  <v>Ronald E. Méndez</v>
                </pt>
              </strCache>
            </strRef>
          </cat>
          <val>
            <numRef>
              <f>'10_RSM_Distribucion'!$N$5:$N$14</f>
              <numCache>
                <formatCode>0%</formatCode>
                <ptCount val="10"/>
                <pt idx="0">
                  <v>1.983425414364641</v>
                </pt>
                <pt idx="1">
                  <v>1.924790589912672</v>
                </pt>
                <pt idx="2">
                  <v>1.785877196905326</v>
                </pt>
                <pt idx="3">
                  <v>1.696833333333333</v>
                </pt>
                <pt idx="4">
                  <v>1.131141073869</v>
                </pt>
                <pt idx="5">
                  <v>0.6826976744186046</v>
                </pt>
                <pt idx="6">
                  <v>0.586840289755088</v>
                </pt>
                <pt idx="7">
                  <v>0.4614004829251466</v>
                </pt>
                <pt idx="8">
                  <v>0.4476496002897576</v>
                </pt>
                <pt idx="9">
                  <v>0.4162729658792651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8438504"/>
        <axId val="58261900"/>
      </barChart>
      <catAx>
        <axId val="78438504"/>
        <scaling>
          <orientation val="maxMin"/>
        </scaling>
        <delete val="0"/>
        <axPos val="l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58261900"/>
        <crosses val="autoZero"/>
        <auto val="1"/>
        <lblAlgn val="ctr"/>
        <lblOffset val="100"/>
        <noMultiLvlLbl val="0"/>
      </catAx>
      <valAx>
        <axId val="58261900"/>
        <scaling>
          <orientation val="minMax"/>
        </scaling>
        <delete val="0"/>
        <axPos val="t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78438504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por RSM (detalle interno)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'10_RSM_Distribucion'!$N$4</f>
              <strCache>
                <ptCount val="1"/>
                <pt idx="0">
                  <v>% Cumpl.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CO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'10_RSM_Distribucion'!$M$5:$M$14</f>
              <strCache>
                <ptCount val="10"/>
                <pt idx="0">
                  <v>Ejec. Eje Cafetero</v>
                </pt>
                <pt idx="1">
                  <v>Ejec. Ventas Sur</v>
                </pt>
                <pt idx="2">
                  <v>Yolanda Candela</v>
                </pt>
                <pt idx="3">
                  <v>Mónica A. García</v>
                </pt>
                <pt idx="4">
                  <v>Eidy J. Pérez</v>
                </pt>
                <pt idx="5">
                  <v>Edwar A. Salazar</v>
                </pt>
                <pt idx="6">
                  <v>Henry A. Acosta</v>
                </pt>
                <pt idx="7">
                  <v>Erwin A. Ríos</v>
                </pt>
                <pt idx="8">
                  <v>Ronald Valenzuela</v>
                </pt>
                <pt idx="9">
                  <v>Ronald E. Méndez</v>
                </pt>
              </strCache>
            </strRef>
          </cat>
          <val>
            <numRef>
              <f>'10_RSM_Distribucion'!$N$5:$N$14</f>
              <numCache>
                <formatCode>0%</formatCode>
                <ptCount val="10"/>
                <pt idx="0">
                  <v>1.983425414364641</v>
                </pt>
                <pt idx="1">
                  <v>1.924790589912672</v>
                </pt>
                <pt idx="2">
                  <v>1.785877196905326</v>
                </pt>
                <pt idx="3">
                  <v>1.696833333333333</v>
                </pt>
                <pt idx="4">
                  <v>1.131141073869</v>
                </pt>
                <pt idx="5">
                  <v>0.6826976744186046</v>
                </pt>
                <pt idx="6">
                  <v>0.586840289755088</v>
                </pt>
                <pt idx="7">
                  <v>0.4614004829251466</v>
                </pt>
                <pt idx="8">
                  <v>0.4476496002897576</v>
                </pt>
                <pt idx="9">
                  <v>0.4162729658792651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4810218"/>
        <axId val="23551100"/>
      </barChart>
      <catAx>
        <axId val="24810218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23551100"/>
        <crosses val="autoZero"/>
        <auto val="1"/>
        <lblAlgn val="ctr"/>
        <lblOffset val="100"/>
        <noMultiLvlLbl val="0"/>
      </catAx>
      <valAx>
        <axId val="23551100"/>
        <scaling>
          <orientation val="minMax"/>
        </scaling>
        <delete val="0"/>
        <axPos val="t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2481021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Cumplimiento budget por RSM (detalle interno)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'10_RSM_Distribucion'!N4</f>
            </strRef>
          </tx>
          <spPr>
            <a:ln xmlns:a="http://schemas.openxmlformats.org/drawingml/2006/main">
              <a:prstDash val="solid"/>
            </a:ln>
          </spPr>
          <cat>
            <numRef>
              <f>'10_RSM_Distribucion'!$M$5:$M$14</f>
            </numRef>
          </cat>
          <val>
            <numRef>
              <f>'10_RSM_Distribucion'!$N$5:$N$14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– Otras Geografías (Exportación)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'11_RSM_Otras_Geo'!$N$4</f>
              <strCache>
                <ptCount val="1"/>
                <pt idx="0">
                  <v>% Cumpl.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s-CO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'11_RSM_Otras_Geo'!$M$5:$M$12</f>
              <strCache>
                <ptCount val="8"/>
                <pt idx="0">
                  <v>Laura M. Torres</v>
                </pt>
                <pt idx="1">
                  <v>María Y. Calderón</v>
                </pt>
                <pt idx="2">
                  <v>Carlos A. Rodríguez</v>
                </pt>
                <pt idx="3">
                  <v>Erick Hinostroza</v>
                </pt>
                <pt idx="4">
                  <v>Mayra A. Navas</v>
                </pt>
                <pt idx="5">
                  <v xml:space="preserve">KAM  - Costa Rica </v>
                </pt>
                <pt idx="6">
                  <v xml:space="preserve">KAM 2 - Ecuador </v>
                </pt>
                <pt idx="7">
                  <v>Angie P. Fernandini</v>
                </pt>
              </strCache>
            </strRef>
          </cat>
          <val>
            <numRef>
              <f>'11_RSM_Otras_Geo'!$N$5:$N$12</f>
              <numCache>
                <formatCode>0%</formatCode>
                <ptCount val="8"/>
                <pt idx="0">
                  <v>1.389695564639131</v>
                </pt>
                <pt idx="1">
                  <v>1.359833281877123</v>
                </pt>
                <pt idx="2">
                  <v>1.01458739412013</v>
                </pt>
                <pt idx="3">
                  <v>1.00783466734426</v>
                </pt>
                <pt idx="4">
                  <v>0.6235083731657586</v>
                </pt>
                <pt idx="5">
                  <v>0.1606839445101624</v>
                </pt>
                <pt idx="6">
                  <v>0.1170710514003075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64872569"/>
        <axId val="88536424"/>
      </barChart>
      <catAx>
        <axId val="64872569"/>
        <scaling>
          <orientation val="maxMin"/>
        </scaling>
        <delete val="0"/>
        <axPos val="l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88536424"/>
        <crosses val="autoZero"/>
        <auto val="1"/>
        <lblAlgn val="ctr"/>
        <lblOffset val="100"/>
        <noMultiLvlLbl val="0"/>
      </catAx>
      <valAx>
        <axId val="88536424"/>
        <scaling>
          <orientation val="minMax"/>
        </scaling>
        <delete val="0"/>
        <axPos val="t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64872569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por RSM (detalle interno)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'11_RSM_Otras_Geo'!$N$4</f>
              <strCache>
                <ptCount val="1"/>
                <pt idx="0">
                  <v>% Cumpl.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CO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'11_RSM_Otras_Geo'!$M$5:$M$12</f>
              <strCache>
                <ptCount val="8"/>
                <pt idx="0">
                  <v>Laura M. Torres</v>
                </pt>
                <pt idx="1">
                  <v>María Y. Calderón</v>
                </pt>
                <pt idx="2">
                  <v>Carlos A. Rodríguez</v>
                </pt>
                <pt idx="3">
                  <v>Erick Hinostroza</v>
                </pt>
                <pt idx="4">
                  <v>Mayra A. Navas</v>
                </pt>
                <pt idx="5">
                  <v xml:space="preserve">KAM  - Costa Rica </v>
                </pt>
                <pt idx="6">
                  <v xml:space="preserve">KAM 2 - Ecuador </v>
                </pt>
                <pt idx="7">
                  <v>Angie P. Fernandini</v>
                </pt>
              </strCache>
            </strRef>
          </cat>
          <val>
            <numRef>
              <f>'11_RSM_Otras_Geo'!$N$5:$N$12</f>
              <numCache>
                <formatCode>0%</formatCode>
                <ptCount val="8"/>
                <pt idx="0">
                  <v>1.389695564639131</v>
                </pt>
                <pt idx="1">
                  <v>1.359833281877123</v>
                </pt>
                <pt idx="2">
                  <v>1.01458739412013</v>
                </pt>
                <pt idx="3">
                  <v>1.00783466734426</v>
                </pt>
                <pt idx="4">
                  <v>0.6235083731657586</v>
                </pt>
                <pt idx="5">
                  <v>0.1606839445101624</v>
                </pt>
                <pt idx="6">
                  <v>0.1170710514003075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7569835"/>
        <axId val="14696350"/>
      </barChart>
      <catAx>
        <axId val="77569835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14696350"/>
        <crosses val="autoZero"/>
        <auto val="1"/>
        <lblAlgn val="ctr"/>
        <lblOffset val="100"/>
        <noMultiLvlLbl val="0"/>
      </catAx>
      <valAx>
        <axId val="14696350"/>
        <scaling>
          <orientation val="minMax"/>
        </scaling>
        <delete val="0"/>
        <axPos val="t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77569835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Cumplimiento budget por RSM (detalle interno)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'11_RSM_Otras_Geo'!N4</f>
            </strRef>
          </tx>
          <spPr>
            <a:ln xmlns:a="http://schemas.openxmlformats.org/drawingml/2006/main">
              <a:prstDash val="solid"/>
            </a:ln>
          </spPr>
          <cat>
            <numRef>
              <f>'11_RSM_Otras_Geo'!$M$5:$M$12</f>
            </numRef>
          </cat>
          <val>
            <numRef>
              <f>'11_RSM_Otras_Geo'!$N$5:$N$12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– Refrigeración (Cold Storage)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'12_RSM_Cold_Storage'!$N$4</f>
              <strCache>
                <ptCount val="1"/>
                <pt idx="0">
                  <v>% Cumpl.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s-CO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'12_RSM_Cold_Storage'!$M$5:$M$7</f>
              <strCache>
                <ptCount val="3"/>
                <pt idx="0">
                  <v>Sandra M. Uribe</v>
                </pt>
                <pt idx="1">
                  <v>Laura M. Rodríguez</v>
                </pt>
                <pt idx="2">
                  <v>Juan C. Menéndez</v>
                </pt>
              </strCache>
            </strRef>
          </cat>
          <val>
            <numRef>
              <f>'12_RSM_Cold_Storage'!$N$5:$N$7</f>
              <numCache>
                <formatCode>0%</formatCode>
                <ptCount val="3"/>
                <pt idx="0">
                  <v>1.5552</v>
                </pt>
                <pt idx="1">
                  <v>1.178444444444444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3642922"/>
        <axId val="20489068"/>
      </barChart>
      <catAx>
        <axId val="93642922"/>
        <scaling>
          <orientation val="maxMin"/>
        </scaling>
        <delete val="0"/>
        <axPos val="l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20489068"/>
        <crosses val="autoZero"/>
        <auto val="1"/>
        <lblAlgn val="ctr"/>
        <lblOffset val="100"/>
        <noMultiLvlLbl val="0"/>
      </catAx>
      <valAx>
        <axId val="20489068"/>
        <scaling>
          <orientation val="minMax"/>
        </scaling>
        <delete val="0"/>
        <axPos val="t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93642922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por RSM (detalle interno)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'12_RSM_Cold_Storage'!$N$4</f>
              <strCache>
                <ptCount val="1"/>
                <pt idx="0">
                  <v>% Cumpl.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CO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'12_RSM_Cold_Storage'!$M$5:$M$7</f>
              <strCache>
                <ptCount val="3"/>
                <pt idx="0">
                  <v>Sandra M. Uribe</v>
                </pt>
                <pt idx="1">
                  <v>Laura M. Rodríguez</v>
                </pt>
                <pt idx="2">
                  <v>Juan C. Menéndez</v>
                </pt>
              </strCache>
            </strRef>
          </cat>
          <val>
            <numRef>
              <f>'12_RSM_Cold_Storage'!$N$5:$N$7</f>
              <numCache>
                <formatCode>0%</formatCode>
                <ptCount val="3"/>
                <pt idx="0">
                  <v>1.5552</v>
                </pt>
                <pt idx="1">
                  <v>1.178444444444444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6394722"/>
        <axId val="52623620"/>
      </barChart>
      <catAx>
        <axId val="26394722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52623620"/>
        <crosses val="autoZero"/>
        <auto val="1"/>
        <lblAlgn val="ctr"/>
        <lblOffset val="100"/>
        <noMultiLvlLbl val="0"/>
      </catAx>
      <valAx>
        <axId val="52623620"/>
        <scaling>
          <orientation val="minMax"/>
        </scaling>
        <delete val="0"/>
        <axPos val="t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26394722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Cumplimiento budget por RSM (detalle interno)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'12_RSM_Cold_Storage'!N4</f>
            </strRef>
          </tx>
          <spPr>
            <a:ln xmlns:a="http://schemas.openxmlformats.org/drawingml/2006/main">
              <a:prstDash val="solid"/>
            </a:ln>
          </spPr>
          <cat>
            <numRef>
              <f>'12_RSM_Cold_Storage'!$M$5:$M$7</f>
            </numRef>
          </cat>
          <val>
            <numRef>
              <f>'12_RSM_Cold_Storage'!$N$5:$N$7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– Site Cali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'13_RSM_Site_Cali'!$N$4</f>
              <strCache>
                <ptCount val="1"/>
                <pt idx="0">
                  <v>% Cumpl.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s-CO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'13_RSM_Site_Cali'!$M$5:$M$7</f>
              <strCache>
                <ptCount val="2"/>
                <pt idx="0">
                  <v>Yazmín Altamirano</v>
                </pt>
                <pt idx="1">
                  <v>Diego A. Calderón</v>
                </pt>
              </strCache>
            </strRef>
          </cat>
          <val>
            <numRef>
              <f>'13_RSM_Site_Cali'!$N$5:$N$7</f>
              <numCache>
                <formatCode>0%</formatCode>
                <ptCount val="3"/>
                <pt idx="0">
                  <v>1.803128071449938</v>
                </pt>
                <pt idx="1">
                  <v>0.7327238657657146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2583103"/>
        <axId val="66550689"/>
      </barChart>
      <catAx>
        <axId val="22583103"/>
        <scaling>
          <orientation val="maxMin"/>
        </scaling>
        <delete val="0"/>
        <axPos val="l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66550689"/>
        <crosses val="autoZero"/>
        <auto val="1"/>
        <lblAlgn val="ctr"/>
        <lblOffset val="100"/>
        <noMultiLvlLbl val="0"/>
      </catAx>
      <valAx>
        <axId val="66550689"/>
        <scaling>
          <orientation val="minMax"/>
        </scaling>
        <delete val="0"/>
        <axPos val="t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22583103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por RSM (detalle interno)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'13_RSM_Site_Cali'!$N$4</f>
              <strCache>
                <ptCount val="1"/>
                <pt idx="0">
                  <v>% Cumpl.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CO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'13_RSM_Site_Cali'!$M$5:$M$6</f>
              <strCache>
                <ptCount val="2"/>
                <pt idx="0">
                  <v>Yazmín Altamirano</v>
                </pt>
                <pt idx="1">
                  <v>Diego A. Calderón</v>
                </pt>
              </strCache>
            </strRef>
          </cat>
          <val>
            <numRef>
              <f>'13_RSM_Site_Cali'!$N$5:$N$6</f>
              <numCache>
                <formatCode>0%</formatCode>
                <ptCount val="2"/>
                <pt idx="0">
                  <v>1.803128071449938</v>
                </pt>
                <pt idx="1">
                  <v>0.7327238657657146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5083412"/>
        <axId val="30470632"/>
      </barChart>
      <catAx>
        <axId val="35083412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30470632"/>
        <crosses val="autoZero"/>
        <auto val="1"/>
        <lblAlgn val="ctr"/>
        <lblOffset val="100"/>
        <noMultiLvlLbl val="0"/>
      </catAx>
      <valAx>
        <axId val="30470632"/>
        <scaling>
          <orientation val="minMax"/>
        </scaling>
        <delete val="0"/>
        <axPos val="t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35083412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Cumplimiento budget por RSM (detalle interno)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'13_RSM_Site_Cali'!N4</f>
            </strRef>
          </tx>
          <spPr>
            <a:ln xmlns:a="http://schemas.openxmlformats.org/drawingml/2006/main">
              <a:prstDash val="solid"/>
            </a:ln>
          </spPr>
          <cat>
            <numRef>
              <f>'13_RSM_Site_Cali'!$M$5:$M$6</f>
            </numRef>
          </cat>
          <val>
            <numRef>
              <f>'13_RSM_Site_Cali'!$N$5:$N$6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– Ventas Alternativas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'14_RSM_Vtas_Alt'!$N$4</f>
              <strCache>
                <ptCount val="1"/>
                <pt idx="0">
                  <v>% Cumpl.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s-CO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'14_RSM_Vtas_Alt'!$M$5:$M$6</f>
              <strCache>
                <ptCount val="2"/>
                <pt idx="0">
                  <v>Yazmín Altamirano</v>
                </pt>
                <pt idx="1">
                  <v>Jairo A. Quintana</v>
                </pt>
              </strCache>
            </strRef>
          </cat>
          <val>
            <numRef>
              <f>'14_RSM_Vtas_Alt'!$N$5:$N$6</f>
              <numCache>
                <formatCode>0%</formatCode>
                <ptCount val="2"/>
                <pt idx="0">
                  <v>1.567084078711986</v>
                </pt>
                <pt idx="1">
                  <v>1.529446327683616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3102654"/>
        <axId val="7029675"/>
      </barChart>
      <catAx>
        <axId val="33102654"/>
        <scaling>
          <orientation val="maxMin"/>
        </scaling>
        <delete val="0"/>
        <axPos val="l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7029675"/>
        <crosses val="autoZero"/>
        <auto val="1"/>
        <lblAlgn val="ctr"/>
        <lblOffset val="100"/>
        <noMultiLvlLbl val="0"/>
      </catAx>
      <valAx>
        <axId val="7029675"/>
        <scaling>
          <orientation val="minMax"/>
        </scaling>
        <delete val="0"/>
        <axPos val="t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33102654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% Cumplimiento budget por RSM (detalle interno)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'14_RSM_Vtas_Alt'!$N$4</f>
              <strCache>
                <ptCount val="1"/>
                <pt idx="0">
                  <v>% Cumpl.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s-CO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'14_RSM_Vtas_Alt'!$M$5:$M$6</f>
              <strCache>
                <ptCount val="2"/>
                <pt idx="0">
                  <v>Yazmín Altamirano</v>
                </pt>
                <pt idx="1">
                  <v>Jairo A. Quintana</v>
                </pt>
              </strCache>
            </strRef>
          </cat>
          <val>
            <numRef>
              <f>'14_RSM_Vtas_Alt'!$N$5:$N$6</f>
              <numCache>
                <formatCode>0%</formatCode>
                <ptCount val="2"/>
                <pt idx="0">
                  <v>1.567084078711986</v>
                </pt>
                <pt idx="1">
                  <v>1.529446327683616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1010857"/>
        <axId val="89272257"/>
      </barChart>
      <catAx>
        <axId val="31010857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89272257"/>
        <crosses val="autoZero"/>
        <auto val="1"/>
        <lblAlgn val="ctr"/>
        <lblOffset val="100"/>
        <noMultiLvlLbl val="0"/>
      </catAx>
      <valAx>
        <axId val="89272257"/>
        <scaling>
          <orientation val="minMax"/>
        </scaling>
        <delete val="0"/>
        <axPos val="t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s-CO"/>
          </a:p>
        </txPr>
        <crossAx val="3101085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Cumplimiento budget por RSM (detalle interno)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'14_RSM_Vtas_Alt'!N4</f>
            </strRef>
          </tx>
          <spPr>
            <a:ln xmlns:a="http://schemas.openxmlformats.org/drawingml/2006/main">
              <a:prstDash val="solid"/>
            </a:ln>
          </spPr>
          <cat>
            <numRef>
              <f>'14_RSM_Vtas_Alt'!$M$5:$M$6</f>
            </numRef>
          </cat>
          <val>
            <numRef>
              <f>'14_RSM_Vtas_Alt'!$N$5:$N$6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Valor perdido por motivo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'20_Lost_Business'!O14</f>
            </strRef>
          </tx>
          <spPr>
            <a:ln xmlns:a="http://schemas.openxmlformats.org/drawingml/2006/main">
              <a:prstDash val="solid"/>
            </a:ln>
          </spPr>
          <cat>
            <numRef>
              <f>'20_Lost_Business'!$M$15:$M$19</f>
            </numRef>
          </cat>
          <val>
            <numRef>
              <f>'20_Lost_Business'!$O$15:$O$19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Unknown Author</author>
  </authors>
  <commentList>
    <comment ref="C5" authorId="0" shapeId="0">
      <text>
        <t>Valor DERIVADO del % reportado en el deck (no venía el dato absoluto). Reemplazar con el dato real del ERP.</t>
      </text>
    </comment>
    <comment ref="D5" authorId="0" shapeId="0">
      <text>
        <t>Valor DERIVADO del % reportado en el deck (no venía el dato absoluto). Reemplazar con el dato real del ERP.</t>
      </text>
    </comment>
    <comment ref="F5" authorId="0" shapeId="0">
      <text>
        <t>Valor DERIVADO del % reportado en el deck (no venía el dato absoluto). Reemplazar con el dato real del ERP.</t>
      </text>
    </comment>
    <comment ref="B11" authorId="0" shapeId="0">
      <text>
        <t>Derivado del % del gráfico original × ventas del mes. Reemplazar con dato real.</t>
      </text>
    </comment>
    <comment ref="B12" authorId="0" shapeId="0">
      <text>
        <t>Derivado del % del gráfico original × ventas del mes. Reemplazar con dato real.</t>
      </text>
    </comment>
    <comment ref="B15" authorId="0" shapeId="0">
      <text>
        <t>Derivado del % del gráfico original. Reemplazar con dato real.</t>
      </text>
    </comment>
    <comment ref="B16" authorId="0" shapeId="0">
      <text>
        <t>Derivado del % del gráfico original. Reemplazar con dato real.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C18" authorId="0" shapeId="0">
      <text>
        <t>Abr: tabla Performed = 12.270 (cuadra con YTD 130.176); el gráfico OI mostraba 13.170. Validar.</t>
      </text>
    </comment>
    <comment ref="C21" authorId="0" shapeId="0">
      <text>
        <t>Jul: el deck mostraba 13.652.194 (duplicado de Jun) en la tabla Performed; se usa 11.718,9 del gráfico OI, que cuadra con YTD 130.176.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B4" authorId="0" shapeId="0">
      <text>
        <t>Diligenciar desde el ERP: OI IMP del mes por canal (m²).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C9" authorId="0" shapeId="0">
      <text>
        <t>El deck mostraba 10.617 (duplicado de Single Skin). Se usa 33.248 del gráfico de progresión (Sep-25).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F13" authorId="0" shapeId="0">
      <text>
        <t>Jul corregido: 11.718,9 (el deck mostraba 13.652.194 = duplicado de Jun).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C34" authorId="0" shapeId="0">
      <text>
        <t>El deck reporta 38 proyectos Industriales; la fila "Others" agrupa varios proyectos.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Relationship Type="http://schemas.openxmlformats.org/officeDocument/2006/relationships/chart" Target="/xl/charts/chart19.xml" Id="rId3"/></Relationships>
</file>

<file path=xl/drawings/_rels/drawing9.xml.rels><Relationships xmlns="http://schemas.openxmlformats.org/package/2006/relationships"><Relationship Type="http://schemas.openxmlformats.org/officeDocument/2006/relationships/chart" Target="/xl/charts/chart20.xml" Id="rId1"/><Relationship Type="http://schemas.openxmlformats.org/officeDocument/2006/relationships/chart" Target="/xl/charts/chart21.xml" Id="rId2"/><Relationship Type="http://schemas.openxmlformats.org/officeDocument/2006/relationships/chart" Target="/xl/charts/chart22.xml" Id="rId3"/><Relationship Type="http://schemas.openxmlformats.org/officeDocument/2006/relationships/chart" Target="/xl/charts/chart23.xml" Id="rId4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7.xml" Id="rId1"/><Relationship Type="http://schemas.openxmlformats.org/officeDocument/2006/relationships/chart" Target="/xl/charts/chart28.xml" Id="rId2"/><Relationship Type="http://schemas.openxmlformats.org/officeDocument/2006/relationships/chart" Target="/xl/charts/chart29.xml" Id="rId3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33.xml" Id="rId1"/><Relationship Type="http://schemas.openxmlformats.org/officeDocument/2006/relationships/chart" Target="/xl/charts/chart34.xml" Id="rId2"/><Relationship Type="http://schemas.openxmlformats.org/officeDocument/2006/relationships/chart" Target="/xl/charts/chart35.xml" Id="rId3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Relationship Type="http://schemas.openxmlformats.org/officeDocument/2006/relationships/chart" Target="/xl/charts/chart38.xml" Id="rId3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39.xml" Id="rId1"/><Relationship Type="http://schemas.openxmlformats.org/officeDocument/2006/relationships/chart" Target="/xl/charts/chart40.xml" Id="rId2"/><Relationship Type="http://schemas.openxmlformats.org/officeDocument/2006/relationships/chart" Target="/xl/charts/chart41.xml" Id="rId3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4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twoCellAnchor editAs="oneCell">
    <from>
      <col>9</col>
      <colOff>0</colOff>
      <row>4</row>
      <rowOff>160560</rowOff>
    </from>
    <to>
      <col>19</col>
      <colOff>364320</colOff>
      <row>17</row>
      <rowOff>179280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9</col>
      <colOff>0</colOff>
      <row>5</row>
      <rowOff>0</rowOff>
    </from>
    <to>
      <col>19</col>
      <colOff>396360</colOff>
      <row>18</row>
      <rowOff>127080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oneCellAnchor>
    <from>
      <col>11</col>
      <colOff>0</colOff>
      <row>3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14</row>
      <rowOff>160920</rowOff>
    </from>
    <to>
      <col>5</col>
      <colOff>168345</colOff>
      <row>28</row>
      <rowOff>16005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0</colOff>
      <row>16</row>
      <rowOff>0</rowOff>
    </from>
    <to>
      <col>5</col>
      <colOff>168705</colOff>
      <row>29</row>
      <rowOff>174660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oneCellAnchor>
    <from>
      <col>0</col>
      <colOff>0</colOff>
      <row>15</row>
      <rowOff>0</rowOff>
    </from>
    <ext cx="468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40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55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16</col>
      <colOff>0</colOff>
      <row>6</row>
      <rowOff>0</rowOff>
    </from>
    <ext cx="79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twoCellAnchor editAs="oneCell">
    <from>
      <col>7</col>
      <colOff>0</colOff>
      <row>2</row>
      <rowOff>160920</rowOff>
    </from>
    <to>
      <col>17</col>
      <colOff>364320</colOff>
      <row>16</row>
      <rowOff>1440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7</col>
      <colOff>0</colOff>
      <row>3</row>
      <rowOff>0</rowOff>
    </from>
    <to>
      <col>17</col>
      <colOff>396360</colOff>
      <row>16</row>
      <rowOff>126720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oneCellAnchor>
    <from>
      <col>9</col>
      <colOff>0</colOff>
      <row>2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twoCellAnchor editAs="oneCell">
    <from>
      <col>0</col>
      <colOff>0</colOff>
      <row>13</row>
      <rowOff>160920</rowOff>
    </from>
    <to>
      <col>4</col>
      <colOff>517830</colOff>
      <row>27</row>
      <rowOff>19815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0</colOff>
      <row>15</row>
      <rowOff>0</rowOff>
    </from>
    <to>
      <col>4</col>
      <colOff>517050</colOff>
      <row>28</row>
      <rowOff>170850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oneCellAnchor>
    <from>
      <col>0</col>
      <colOff>0</colOff>
      <row>14</row>
      <rowOff>0</rowOff>
    </from>
    <ext cx="468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twoCellAnchor editAs="oneCell">
    <from>
      <col>11</col>
      <colOff>0</colOff>
      <row>2</row>
      <rowOff>160920</rowOff>
    </from>
    <to>
      <col>21</col>
      <colOff>364320</colOff>
      <row>17</row>
      <rowOff>1440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11</col>
      <colOff>0</colOff>
      <row>3</row>
      <rowOff>0</rowOff>
    </from>
    <to>
      <col>21</col>
      <colOff>396360</colOff>
      <row>17</row>
      <rowOff>136275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oneCellAnchor>
    <from>
      <col>11</col>
      <colOff>0</colOff>
      <row>2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twoCellAnchor editAs="oneCell">
    <from>
      <col>15</col>
      <colOff>0</colOff>
      <row>11</row>
      <rowOff>160560</rowOff>
    </from>
    <to>
      <col>21</col>
      <colOff>464040</colOff>
      <row>25</row>
      <rowOff>13320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8</col>
      <colOff>0</colOff>
      <row>26</row>
      <rowOff>160920</rowOff>
    </from>
    <to>
      <col>16</col>
      <colOff>1208520</colOff>
      <row>42</row>
      <rowOff>142920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oneCellAnchor>
    <from>
      <col>8</col>
      <colOff>0</colOff>
      <row>26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24</col>
      <colOff>0</colOff>
      <row>3</row>
      <rowOff>0</rowOff>
    </from>
    <ext cx="468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twoCellAnchor editAs="oneCell">
    <from>
      <col>11</col>
      <colOff>0</colOff>
      <row>18</row>
      <rowOff>160920</rowOff>
    </from>
    <to>
      <col>17</col>
      <colOff>563040</colOff>
      <row>34</row>
      <rowOff>1440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11</col>
      <colOff>0</colOff>
      <row>21</row>
      <rowOff>0</rowOff>
    </from>
    <to>
      <col>17</col>
      <colOff>569880</colOff>
      <row>36</row>
      <rowOff>165240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oneCellAnchor>
    <from>
      <col>11</col>
      <colOff>0</colOff>
      <row>21</row>
      <rowOff>0</rowOff>
    </from>
    <ext cx="468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twoCellAnchor editAs="oneCell">
    <from>
      <col>11</col>
      <colOff>0</colOff>
      <row>20</row>
      <rowOff>160920</rowOff>
    </from>
    <to>
      <col>17</col>
      <colOff>563040</colOff>
      <row>36</row>
      <rowOff>1440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11</col>
      <colOff>0</colOff>
      <row>21</row>
      <rowOff>0</rowOff>
    </from>
    <to>
      <col>17</col>
      <colOff>569880</colOff>
      <row>36</row>
      <rowOff>165240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oneCellAnchor>
    <from>
      <col>11</col>
      <colOff>0</colOff>
      <row>21</row>
      <rowOff>0</rowOff>
    </from>
    <ext cx="468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twoCellAnchor editAs="oneCell">
    <from>
      <col>11</col>
      <colOff>0</colOff>
      <row>20</row>
      <rowOff>160920</rowOff>
    </from>
    <to>
      <col>17</col>
      <colOff>563040</colOff>
      <row>36</row>
      <rowOff>1440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11</col>
      <colOff>0</colOff>
      <row>21</row>
      <rowOff>0</rowOff>
    </from>
    <to>
      <col>17</col>
      <colOff>569880</colOff>
      <row>36</row>
      <rowOff>165240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oneCellAnchor>
    <from>
      <col>11</col>
      <colOff>0</colOff>
      <row>21</row>
      <rowOff>0</rowOff>
    </from>
    <ext cx="468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twoCellAnchor editAs="oneCell">
    <from>
      <col>11</col>
      <colOff>0</colOff>
      <row>20</row>
      <rowOff>160920</rowOff>
    </from>
    <to>
      <col>17</col>
      <colOff>563040</colOff>
      <row>36</row>
      <rowOff>1440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11</col>
      <colOff>0</colOff>
      <row>21</row>
      <rowOff>0</rowOff>
    </from>
    <to>
      <col>17</col>
      <colOff>569880</colOff>
      <row>36</row>
      <rowOff>165240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oneCellAnchor>
    <from>
      <col>11</col>
      <colOff>0</colOff>
      <row>21</row>
      <rowOff>0</rowOff>
    </from>
    <ext cx="468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twoCellAnchor editAs="oneCell">
    <from>
      <col>11</col>
      <colOff>0</colOff>
      <row>20</row>
      <rowOff>160920</rowOff>
    </from>
    <to>
      <col>17</col>
      <colOff>559800</colOff>
      <row>36</row>
      <rowOff>1440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11</col>
      <colOff>0</colOff>
      <row>21</row>
      <rowOff>0</rowOff>
    </from>
    <to>
      <col>17</col>
      <colOff>569880</colOff>
      <row>36</row>
      <rowOff>165240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oneCellAnchor>
    <from>
      <col>11</col>
      <colOff>0</colOff>
      <row>21</row>
      <rowOff>0</rowOff>
    </from>
    <ext cx="468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twoCellAnchor editAs="oneCell">
    <from>
      <col>11</col>
      <colOff>0</colOff>
      <row>20</row>
      <rowOff>160920</rowOff>
    </from>
    <to>
      <col>17</col>
      <colOff>566280</colOff>
      <row>36</row>
      <rowOff>1800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11</col>
      <colOff>0</colOff>
      <row>21</row>
      <rowOff>0</rowOff>
    </from>
    <to>
      <col>17</col>
      <colOff>569880</colOff>
      <row>36</row>
      <rowOff>165240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oneCellAnchor>
    <from>
      <col>11</col>
      <colOff>0</colOff>
      <row>21</row>
      <rowOff>0</rowOff>
    </from>
    <ext cx="468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18</col>
      <colOff>0</colOff>
      <row>3</row>
      <rowOff>0</rowOff>
    </from>
    <ext cx="504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LostBusiness" displayName="tblLostBusiness" ref="A4:K34" headerRowCount="1">
  <autoFilter ref="A4:K34"/>
  <tableColumns count="11">
    <tableColumn id="1" name="Cliente"/>
    <tableColumn id="2" name="Proyecto"/>
    <tableColumn id="3" name="Producto"/>
    <tableColumn id="4" name="m² perdidos"/>
    <tableColumn id="5" name="Valor perdido (USD)"/>
    <tableColumn id="6" name="Competidor"/>
    <tableColumn id="7" name="Motivo (categoría)"/>
    <tableColumn id="8" name="Motivo (detalle)"/>
    <tableColumn id="9" name="Acción correctiva / aprendizaje"/>
    <tableColumn id="10" name="Motivo – resumen slide"/>
    <tableColumn id="11" name="Acción – resumen slid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16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tabColor rgb="FF00EDB6"/>
    <outlinePr summaryBelow="1" summaryRight="1"/>
    <pageSetUpPr/>
  </sheetPr>
  <dimension ref="A1:A34"/>
  <sheetViews>
    <sheetView showGridLines="0" zoomScaleNormal="100" workbookViewId="0">
      <selection activeCell="A16" sqref="A16"/>
    </sheetView>
  </sheetViews>
  <sheetFormatPr baseColWidth="10" defaultColWidth="8.7109375" defaultRowHeight="15"/>
  <cols>
    <col width="140" customWidth="1" min="1" max="1"/>
  </cols>
  <sheetData>
    <row r="1" ht="18" customHeight="1">
      <c r="A1" s="2" t="inlineStr">
        <is>
          <t>Kingspan Middle Americas · Commercial Review – Motor de datos (Data Engine)</t>
        </is>
      </c>
    </row>
    <row r="3">
      <c r="A3" s="3" t="inlineStr">
        <is>
          <t>Cómo usar este archivo</t>
        </is>
      </c>
    </row>
    <row r="4">
      <c r="A4" s="4" t="inlineStr">
        <is>
          <t>1. Diligencie SOLO las celdas amarillas con texto azul (inputs). Todo lo demás (%, YoY, MoM, totales, mix, rankings, semáforos, Top 5) se calcula solo.</t>
        </is>
      </c>
    </row>
    <row r="5">
      <c r="A5" s="4" t="inlineStr">
        <is>
          <t>2. Cada hoja corresponde a un slide del deck (01 = Commercial Overview … 15 = Highlights). El número de la hoja = número del slide de contenido.</t>
        </is>
      </c>
    </row>
    <row r="6">
      <c r="A6" s="4" t="inlineStr">
        <is>
          <t>3. Los rankings de consultores (hojas 09–14) y los Top 5 (hojas 07–08) se reordenan automáticamente al cambiar los datos.</t>
        </is>
      </c>
    </row>
    <row r="7">
      <c r="A7" s="4" t="inlineStr">
        <is>
          <t>4. Para actualizar el PowerPoint: en cada gráfico clic derecho › "Editar datos" y pegue los valores de la tabla "Fuente gráfico" de la hoja correspondiente; en las tablas, pegue valores (Pegado especial › Valores) desde el bloque "Tabla slide".</t>
        </is>
      </c>
    </row>
    <row r="8">
      <c r="A8" s="4" t="inlineStr">
        <is>
          <t xml:space="preserve">   Alternativa: copie el bloque de la hoja y en PowerPoint use Pegado especial › "Pegar vínculo" (Hoja de Microsoft Excel) para dejar la tabla vinculada a este archivo.</t>
        </is>
      </c>
    </row>
    <row r="9">
      <c r="A9" s="4" t="inlineStr">
        <is>
          <t>5. Mes de corte: hoja 02_OI celda B4 y 06_Perf_Forecast celda B4 (número de mes, 9 = septiembre).</t>
        </is>
      </c>
    </row>
    <row r="10">
      <c r="A10" s="4" t="inlineStr">
        <is>
          <t>6. Revise la hoja "Validaciones": lista inconsistencias detectadas en el deck original y cómo se corrigieron.</t>
        </is>
      </c>
    </row>
    <row r="11">
      <c r="A11" s="4" t="n"/>
    </row>
    <row r="12">
      <c r="A12" s="3" t="inlineStr">
        <is>
          <t>Convenciones</t>
        </is>
      </c>
    </row>
    <row r="13">
      <c r="A13" s="4" t="inlineStr">
        <is>
          <t>Amarillo + azul = input · Negro = fórmula · Verde/Ámbar/Rojo = semáforo de cumplimiento (≥100% / 70–99% / &lt;70%).</t>
        </is>
      </c>
    </row>
    <row r="14">
      <c r="A14" s="4" t="inlineStr">
        <is>
          <t>Unidades: volumen en m²; ingresos en COP MM (millones de pesos); pipeline en USD.</t>
        </is>
      </c>
    </row>
    <row r="16">
      <c r="A16" s="5" t="inlineStr">
        <is>
          <t>Actualización Oct-2026</t>
        </is>
      </c>
    </row>
    <row r="17">
      <c r="A17" s="6" t="inlineStr">
        <is>
          <t>• Los slides por consultor (RSM) se reemplazaron por UN slide resumen por canal: "Sales Performance by Channel (YTD)".</t>
        </is>
      </c>
    </row>
    <row r="18">
      <c r="A18" s="6" t="inlineStr">
        <is>
          <t>• Fuente del slide: hoja RSM_Resumen_Canales (todo fórmula). Las hojas 09–14 siguen siendo el input de detalle por consultor: actualice allí ventas, budget, OI y backlog; el resumen suma el TOTAL CANAL de cada hoja.</t>
        </is>
      </c>
    </row>
    <row r="19">
      <c r="A19" s="6" t="inlineStr">
        <is>
          <t>• Backlog y margen de backlog por canal: hoja 05_Backlog_Canal (B = backlog CM, E/F = margen CM/PY).</t>
        </is>
      </c>
    </row>
    <row r="20">
      <c r="A20" s="6" t="inlineStr">
        <is>
          <t>• Mapa de slides: 2 Overview (01) · 3 OI (02) · 4 OI canal (03) · 5 Backlog (04) · 6 Backlog canal (05) · 7 Performed/Forecast (06) · 8 Top Opps (07/Pipeline) · 9–10 Key Projects (08/Pipeline) · 11 Resumen canales y 12 Sales vs Budget &amp; margen (RSM_Resumen_Canales) · 13 Highlights (15).</t>
        </is>
      </c>
    </row>
    <row r="21">
      <c r="A21" s="6" t="inlineStr">
        <is>
          <t>• Slides 11–12 en miles de m² (k m²). Semáforo: Rojo 0–60% · Naranja 61–84% · Verde claro 85–100% · Verde oscuro &gt;100%.</t>
        </is>
      </c>
    </row>
    <row r="22">
      <c r="A22" s="5" t="inlineStr">
        <is>
          <t>Estructura 4 preguntas (Oct-2026)</t>
        </is>
      </c>
    </row>
    <row r="23">
      <c r="A23" s="6" t="inlineStr">
        <is>
          <t>• Hojas nuevas: 00_Resumen_Ejecutivo (slide 2) · 16_Iniciativas (slides 15–16) · 17_Actividad_Impacto (slide 17) · 18_Acciones_Decisiones (slide 19). La hoja Validaciones tiene columna Estado: el deck final se cierra solo con 0 puntos abiertos.</t>
        </is>
      </c>
    </row>
    <row r="24">
      <c r="A24" s="6" t="inlineStr">
        <is>
          <t>• Mapa actual: 1 Portada · 2 Resumen ejecutivo · 3 Overview · 4 OI · 5 OI canal · 6 Backlog · 7 Backlog canal · 8 Performed/Forecast · 9 Top Opps · 10–11 Key Projects · 12 Resumen canales · 13 Sales vs Budget &amp; margen · 14 Qué explica la desviación · 15–16 Iniciativas · 17 Actividad→Impacto · 18 Highlights · 19 Decisiones · 20 Cierre.</t>
        </is>
      </c>
    </row>
    <row r="26">
      <c r="A26" s="5" t="inlineStr">
        <is>
          <t>Actualización canales y segmentos (Oct-2026)</t>
        </is>
      </c>
    </row>
    <row r="27">
      <c r="A27" s="6" t="inlineStr">
        <is>
          <t>• Nueva estructura: 3 canales (Industrial, Distribución, Ventas Alternativas) y 2 segmentos (Construcción, Refrigeración). Motor: hoja 22_Canales_Segmentos.</t>
        </is>
      </c>
    </row>
    <row r="28">
      <c r="A28" s="6" t="inlineStr">
        <is>
          <t>• Ventas Alternativas = valor del canal actual. Industrial + Distribución = total IMP − Alternativas, prorrateado con Industrial/(Industrial+Distribución) del canal actual; % manual opcional en fila 16.</t>
        </is>
      </c>
    </row>
    <row r="29">
      <c r="A29" s="6" t="inlineStr">
        <is>
          <t>• Segmentos = total de los 3 canales × % asignado (22_Canales_Segmentos B5, o por métrica en fila 24).</t>
        </is>
      </c>
    </row>
    <row r="30">
      <c r="A30" s="6" t="inlineStr">
        <is>
          <t>• Presupuesto: 21_Ppto_Junta (Presupuesto de Junta mensual, % por canal, ventas reales y metas). B5 elige la participación por canal: Anterior (por defecto) o Junta.</t>
        </is>
      </c>
    </row>
    <row r="31">
      <c r="A31" s="6" t="inlineStr">
        <is>
          <t>• OI por región (Overview): 19_OI_Regiones, con selector Mes/YTD y ranking automático.</t>
        </is>
      </c>
    </row>
    <row r="32">
      <c r="A32" s="6" t="inlineStr">
        <is>
          <t>• Lost Business: 20_Lost_Business (tabla con filtros, resumen por motivo/competidor y consulta interactiva).</t>
        </is>
      </c>
    </row>
    <row r="33">
      <c r="A33" s="6" t="inlineStr">
        <is>
          <t>• Etiquetas m² de las barras (OI y Backlog): 02_OI I:J y 04_Backlog G:H.</t>
        </is>
      </c>
    </row>
    <row r="34">
      <c r="A34" s="6" t="inlineStr">
        <is>
          <t>• Para regenerar el deck: python scripts/actualizar_deck_comercial.py &lt;este Excel&gt; &lt;deck base&gt; &lt;salida&gt;.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00EDB6"/>
    <outlinePr summaryBelow="1" summaryRight="1"/>
    <pageSetUpPr/>
  </sheetPr>
  <dimension ref="A1:L14"/>
  <sheetViews>
    <sheetView showGridLines="0" zoomScaleNormal="100" workbookViewId="0">
      <selection activeCell="A1" sqref="A1"/>
    </sheetView>
  </sheetViews>
  <sheetFormatPr baseColWidth="10" defaultColWidth="8.7109375" defaultRowHeight="15"/>
  <cols>
    <col width="30" customWidth="1" min="1" max="1"/>
    <col width="7" customWidth="1" min="2" max="2"/>
    <col width="16" customWidth="1" min="3" max="5"/>
    <col width="12" customWidth="1" min="6" max="6"/>
    <col width="13" customWidth="1" min="7" max="7"/>
    <col width="14" customWidth="1" min="8" max="8"/>
    <col width="38" customWidth="1" min="9" max="10"/>
    <col width="16" customWidth="1" min="11" max="11"/>
    <col width="11" customWidth="1" min="12" max="12"/>
  </cols>
  <sheetData>
    <row r="1" ht="18" customHeight="1">
      <c r="A1" s="7" t="inlineStr">
        <is>
          <t>00 · Resumen ejecutivo – 4 preguntas</t>
        </is>
      </c>
    </row>
    <row r="2">
      <c r="A2" s="8" t="inlineStr">
        <is>
          <t>Slide 2: qué nos comprometimos (amarillo = input), qué logramos (fórmula), desviación y estado (automáticos), qué la explica y acción (input).</t>
        </is>
      </c>
    </row>
    <row r="4" ht="31.5" customHeight="1">
      <c r="A4" s="9" t="inlineStr">
        <is>
          <t>Indicador</t>
        </is>
      </c>
      <c r="B4" s="9" t="inlineStr">
        <is>
          <t>Unidad</t>
        </is>
      </c>
      <c r="C4" s="9" t="inlineStr">
        <is>
          <t>Compromiso / meta</t>
        </is>
      </c>
      <c r="D4" s="9" t="inlineStr">
        <is>
          <t>Resultado</t>
        </is>
      </c>
      <c r="E4" s="9" t="inlineStr">
        <is>
          <t>Desviación (Res − Comp)</t>
        </is>
      </c>
      <c r="F4" s="9" t="inlineStr">
        <is>
          <t>% vs compromiso</t>
        </is>
      </c>
      <c r="G4" s="9" t="inlineStr">
        <is>
          <t>Estado sugerido</t>
        </is>
      </c>
      <c r="H4" s="9" t="inlineStr">
        <is>
          <t>Estado final (override)</t>
        </is>
      </c>
      <c r="I4" s="9" t="inlineStr">
        <is>
          <t>Qué la explica</t>
        </is>
      </c>
      <c r="J4" s="9" t="inlineStr">
        <is>
          <t>Acción / decisión</t>
        </is>
      </c>
      <c r="K4" s="9" t="inlineStr">
        <is>
          <t>Responsable</t>
        </is>
      </c>
      <c r="L4" s="9" t="inlineStr">
        <is>
          <t>Fecha</t>
        </is>
      </c>
    </row>
    <row r="5">
      <c r="A5" s="10" t="inlineStr">
        <is>
          <t>Order Intake YTD</t>
        </is>
      </c>
      <c r="B5" s="11" t="inlineStr">
        <is>
          <t>m²</t>
        </is>
      </c>
      <c r="C5" s="12" t="n"/>
      <c r="D5" s="13">
        <f>'02_OI'!E7</f>
        <v/>
      </c>
      <c r="E5" s="14">
        <f>IF(C5="","",D5-C5)</f>
        <v/>
      </c>
      <c r="F5" s="15">
        <f>IF(OR(C5="",C5=0),"",D5/C5)</f>
        <v/>
      </c>
      <c r="G5" s="16">
        <f>IF(F5="","Definir",IF(ROUND(F5,2)&gt;=1,"Verde",IF(ROUND(F5,2)&gt;=0.85,"Amarillo","Rojo")))</f>
        <v/>
      </c>
      <c r="H5" s="98" t="n"/>
      <c r="I5" s="98" t="n"/>
      <c r="J5" s="98" t="n"/>
      <c r="K5" s="98" t="n"/>
      <c r="L5" s="17" t="n"/>
    </row>
    <row r="6" ht="38.25" customHeight="1">
      <c r="A6" s="10" t="inlineStr">
        <is>
          <t>Ventas YTD</t>
        </is>
      </c>
      <c r="B6" s="11" t="inlineStr">
        <is>
          <t>m²</t>
        </is>
      </c>
      <c r="C6" s="13">
        <f>RSM_Resumen_Canales!T11</f>
        <v/>
      </c>
      <c r="D6" s="13">
        <f>RSM_Resumen_Canales!D11</f>
        <v/>
      </c>
      <c r="E6" s="14">
        <f>IF(C6="","",D6-C6)</f>
        <v/>
      </c>
      <c r="F6" s="15">
        <f>IF(OR(C6="",C6=0),"",D6/C6)</f>
        <v/>
      </c>
      <c r="G6" s="16">
        <f>IF(F6="","Definir",IF(ROUND(F6,2)&gt;=1,"Verde",IF(ROUND(F6,2)&gt;=0.85,"Amarillo","Rojo")))</f>
        <v/>
      </c>
      <c r="H6" s="98" t="n"/>
      <c r="I6" s="98" t="inlineStr">
        <is>
          <t>Industrial y Otras Geografías = 98% de la brecha</t>
        </is>
      </c>
      <c r="J6" s="98" t="inlineStr">
        <is>
          <t>Plan de cobertura territorios Industrial + plan de recuperación cuentas Ecuador / Costa Rica</t>
        </is>
      </c>
      <c r="K6" s="98" t="n"/>
      <c r="L6" s="17" t="n"/>
    </row>
    <row r="7">
      <c r="A7" s="10" t="inlineStr">
        <is>
          <t>Margen OI YTD (Gross-STD)</t>
        </is>
      </c>
      <c r="B7" s="11" t="inlineStr">
        <is>
          <t>%</t>
        </is>
      </c>
      <c r="C7" s="18" t="n"/>
      <c r="D7" s="19">
        <f>'02_OI'!E12</f>
        <v/>
      </c>
      <c r="E7" s="20">
        <f>IF(C7="","",D7-C7)</f>
        <v/>
      </c>
      <c r="F7" s="15">
        <f>IF(OR(C7="",C7=0),"",D7/C7)</f>
        <v/>
      </c>
      <c r="G7" s="16">
        <f>IF(F7="","Definir",IF(ROUND(F7,2)&gt;=1,"Verde",IF(ROUND(F7,2)&gt;=0.85,"Amarillo","Rojo")))</f>
        <v/>
      </c>
      <c r="H7" s="98" t="n"/>
      <c r="I7" s="98" t="n"/>
      <c r="J7" s="98" t="n"/>
      <c r="K7" s="98" t="n"/>
      <c r="L7" s="17" t="n"/>
    </row>
    <row r="8">
      <c r="A8" s="10" t="inlineStr">
        <is>
          <t>Backlog IMP</t>
        </is>
      </c>
      <c r="B8" s="11" t="inlineStr">
        <is>
          <t>m²</t>
        </is>
      </c>
      <c r="C8" s="12" t="n"/>
      <c r="D8" s="13">
        <f>'04_Backlog'!B5</f>
        <v/>
      </c>
      <c r="E8" s="14">
        <f>IF(C8="","",D8-C8)</f>
        <v/>
      </c>
      <c r="F8" s="15">
        <f>IF(OR(C8="",C8=0),"",D8/C8)</f>
        <v/>
      </c>
      <c r="G8" s="16">
        <f>IF(F8="","Definir",IF(ROUND(F8,2)&gt;=1,"Verde",IF(ROUND(F8,2)&gt;=0.85,"Amarillo","Rojo")))</f>
        <v/>
      </c>
      <c r="H8" s="98" t="n"/>
      <c r="I8" s="98" t="n"/>
      <c r="J8" s="98" t="n"/>
      <c r="K8" s="98" t="n"/>
      <c r="L8" s="17" t="n"/>
    </row>
    <row r="9">
      <c r="A9" s="10" t="inlineStr">
        <is>
          <t>Margen backlog (ponderado)</t>
        </is>
      </c>
      <c r="B9" s="11" t="inlineStr">
        <is>
          <t>%</t>
        </is>
      </c>
      <c r="C9" s="18" t="n"/>
      <c r="D9" s="19">
        <f>RSM_Resumen_Canales!J11</f>
        <v/>
      </c>
      <c r="E9" s="20">
        <f>IF(C9="","",D9-C9)</f>
        <v/>
      </c>
      <c r="F9" s="15">
        <f>IF(OR(C9="",C9=0),"",D9/C9)</f>
        <v/>
      </c>
      <c r="G9" s="16">
        <f>IF(F9="","Definir",IF(ROUND(F9,2)&gt;=1,"Verde",IF(ROUND(F9,2)&gt;=0.85,"Amarillo","Rojo")))</f>
        <v/>
      </c>
      <c r="H9" s="98" t="n"/>
      <c r="I9" s="98" t="n"/>
      <c r="J9" s="98" t="n"/>
      <c r="K9" s="98" t="n"/>
      <c r="L9" s="17" t="n"/>
    </row>
    <row r="10">
      <c r="A10" s="10" t="inlineStr">
        <is>
          <t>Cierre año OI (real + forecast)</t>
        </is>
      </c>
      <c r="B10" s="11" t="inlineStr">
        <is>
          <t>m²</t>
        </is>
      </c>
      <c r="C10" s="12" t="n"/>
      <c r="D10" s="13">
        <f>'06_Perf_Forecast'!B30</f>
        <v/>
      </c>
      <c r="E10" s="14">
        <f>IF(C10="","",D10-C10)</f>
        <v/>
      </c>
      <c r="F10" s="15">
        <f>IF(OR(C10="",C10=0),"",D10/C10)</f>
        <v/>
      </c>
      <c r="G10" s="16">
        <f>IF(F10="","Definir",IF(ROUND(F10,2)&gt;=1,"Verde",IF(ROUND(F10,2)&gt;=0.85,"Amarillo","Rojo")))</f>
        <v/>
      </c>
      <c r="H10" s="98" t="n"/>
      <c r="I10" s="98" t="inlineStr">
        <is>
          <t>Forecast Q4 400k m² (+7,6% vs Q4-25)</t>
        </is>
      </c>
      <c r="J10" s="98" t="n"/>
      <c r="K10" s="98" t="n"/>
      <c r="L10" s="17" t="n"/>
    </row>
    <row r="11">
      <c r="A11" s="10" t="inlineStr">
        <is>
          <t>Iniciativas estratégicas en verde</t>
        </is>
      </c>
      <c r="B11" s="11" t="inlineStr">
        <is>
          <t>#</t>
        </is>
      </c>
      <c r="C11" s="21" t="n">
        <v>8</v>
      </c>
      <c r="D11" s="22">
        <f>COUNTIF('16_Iniciativas'!J5:J12,"Verde")</f>
        <v/>
      </c>
      <c r="E11" s="14">
        <f>IF(C11="","",D11-C11)</f>
        <v/>
      </c>
      <c r="F11" s="15">
        <f>IF(OR(C11="",C11=0),"",D11/C11)</f>
        <v/>
      </c>
      <c r="G11" s="16">
        <f>IF(COUNTA('16_Iniciativas'!J5:J12)=0,"Definir",IF(ROUND(F11,2)&gt;=1,"Verde",IF(ROUND(F11,2)&gt;=0.85,"Amarillo","Rojo")))</f>
        <v/>
      </c>
      <c r="H11" s="98" t="n"/>
      <c r="I11" s="98" t="n"/>
      <c r="J11" s="98" t="n"/>
      <c r="K11" s="98" t="n"/>
      <c r="L11" s="17" t="n"/>
    </row>
    <row r="13">
      <c r="A13" s="8" t="inlineStr">
        <is>
          <t>Regla de estado sugerido: ≥100% del compromiso = Verde · 85–99% = Amarillo · &lt;85% = Rojo. Si se diligencia "Estado final", ese prevalece en el slide.</t>
        </is>
      </c>
    </row>
    <row r="14" ht="31.5" customHeight="1">
      <c r="A14" s="23" t="inlineStr">
        <is>
          <t>Mensaje clave del slide (1 línea):</t>
        </is>
      </c>
      <c r="C14" s="98" t="inlineStr">
        <is>
          <t>Estamos al 85% del budget de ventas YTD con OI y margen por encima del año anterior; la brecha está en territorios Industrial y dos cuentas de exportación.</t>
        </is>
      </c>
      <c r="D14" s="99" t="n"/>
      <c r="E14" s="99" t="n"/>
      <c r="F14" s="99" t="n"/>
      <c r="G14" s="99" t="n"/>
      <c r="H14" s="99" t="n"/>
      <c r="I14" s="99" t="n"/>
      <c r="J14" s="99" t="n"/>
      <c r="K14" s="99" t="n"/>
      <c r="L14" s="100" t="n"/>
    </row>
  </sheetData>
  <mergeCells count="1">
    <mergeCell ref="C14:L14"/>
  </mergeCells>
  <conditionalFormatting sqref="G5:H11">
    <cfRule type="expression" priority="2" dxfId="2">
      <formula>G5="Verde"</formula>
    </cfRule>
    <cfRule type="expression" priority="3" dxfId="1">
      <formula>G5="Amarillo"</formula>
    </cfRule>
    <cfRule type="expression" priority="4" dxfId="0">
      <formula>G5="Rojo"</formula>
    </cfRule>
  </conditionalFormatting>
  <dataValidations count="1">
    <dataValidation sqref="H5:H11" showDropDown="0" showInputMessage="0" showErrorMessage="0" allowBlank="1" type="list">
      <formula1>"Verde,Amarillo,Rojo"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61530"/>
    <outlinePr summaryBelow="1" summaryRight="1"/>
    <pageSetUpPr/>
  </sheetPr>
  <dimension ref="A1:I29"/>
  <sheetViews>
    <sheetView showGridLines="0" zoomScaleNormal="100" workbookViewId="0">
      <selection activeCell="A10" sqref="A10:E31"/>
    </sheetView>
  </sheetViews>
  <sheetFormatPr baseColWidth="10" defaultColWidth="8.7109375" defaultRowHeight="15"/>
  <cols>
    <col width="34" customWidth="1" min="1" max="1"/>
    <col width="40" customWidth="1" min="2" max="2"/>
    <col width="20" customWidth="1" min="3" max="3"/>
    <col width="22" customWidth="1" min="4" max="4"/>
    <col width="14" customWidth="1" min="5" max="6"/>
    <col width="11" customWidth="1" min="7" max="9"/>
  </cols>
  <sheetData>
    <row r="1" ht="18" customHeight="1">
      <c r="A1" s="2" t="inlineStr">
        <is>
          <t>01 · Commercial Overview</t>
        </is>
      </c>
    </row>
    <row r="2">
      <c r="A2" s="24" t="inlineStr">
        <is>
          <t>Ventas y Order Intake del mes, YTD, YoY y MoM · mix de ventas por canal y geografía</t>
        </is>
      </c>
    </row>
    <row r="4" ht="30" customHeight="1">
      <c r="A4" s="25" t="inlineStr">
        <is>
          <t>Concepto (m²)</t>
        </is>
      </c>
      <c r="B4" s="25" t="inlineStr">
        <is>
          <t>Mes actual (Sep-26)</t>
        </is>
      </c>
      <c r="C4" s="25" t="inlineStr">
        <is>
          <t>Mismo mes PY (Sep-25)</t>
        </is>
      </c>
      <c r="D4" s="25" t="inlineStr">
        <is>
          <t>Mes anterior (Ago-26)</t>
        </is>
      </c>
      <c r="E4" s="25" t="inlineStr">
        <is>
          <t>YTD 2026</t>
        </is>
      </c>
      <c r="F4" s="25" t="inlineStr">
        <is>
          <t>YTD 2025</t>
        </is>
      </c>
      <c r="G4" s="25" t="inlineStr">
        <is>
          <t>YoY mes</t>
        </is>
      </c>
      <c r="H4" s="25" t="inlineStr">
        <is>
          <t>MoM</t>
        </is>
      </c>
      <c r="I4" s="25" t="inlineStr">
        <is>
          <t>YoY YTD</t>
        </is>
      </c>
    </row>
    <row r="5">
      <c r="A5" s="26" t="inlineStr">
        <is>
          <t>Ventas (Sales)</t>
        </is>
      </c>
      <c r="B5" s="27" t="n">
        <v>141231</v>
      </c>
      <c r="C5" s="27" t="n">
        <v>99001</v>
      </c>
      <c r="D5" s="27" t="n">
        <v>125933</v>
      </c>
      <c r="E5" s="27" t="n">
        <v>1199504</v>
      </c>
      <c r="F5" s="27" t="n">
        <v>1120888</v>
      </c>
      <c r="G5" s="28">
        <f>IF(OR(B5="",C5=""),"",IF(C5=0,"n.a.",B5/C5-1))</f>
        <v/>
      </c>
      <c r="H5" s="28">
        <f>IF(OR(B5="",D5=""),"",IF(D5=0,"n.a.",B5/D5-1))</f>
        <v/>
      </c>
      <c r="I5" s="28">
        <f>IF(OR(E5="",F5=""),"",IF(F5=0,"n.a.",E5/F5-1))</f>
        <v/>
      </c>
    </row>
    <row r="6">
      <c r="A6" s="26" t="inlineStr">
        <is>
          <t>Order Intake</t>
        </is>
      </c>
      <c r="B6" s="27" t="n">
        <v>160547</v>
      </c>
      <c r="C6" s="27" t="n">
        <v>132769</v>
      </c>
      <c r="D6" s="27" t="n">
        <v>146446</v>
      </c>
      <c r="E6" s="27" t="n">
        <v>1400088</v>
      </c>
      <c r="F6" s="27" t="n">
        <v>1120898</v>
      </c>
      <c r="G6" s="28">
        <f>IF(OR(B6="",C6=""),"",IF(C6=0,"n.a.",B6/C6-1))</f>
        <v/>
      </c>
      <c r="H6" s="28">
        <f>IF(OR(B6="",D6=""),"",IF(D6=0,"n.a.",B6/D6-1))</f>
        <v/>
      </c>
      <c r="I6" s="28">
        <f>IF(OR(E6="",F6=""),"",IF(F6=0,"n.a.",E6/F6-1))</f>
        <v/>
      </c>
    </row>
    <row r="7">
      <c r="A7" s="26" t="inlineStr">
        <is>
          <t>Book-to-bill YTD (OI / Ventas)</t>
        </is>
      </c>
      <c r="E7" s="29">
        <f>IFERROR(E6/E5,"")</f>
        <v/>
      </c>
    </row>
    <row r="8">
      <c r="A8" s="26" t="inlineStr">
        <is>
          <t>Book-to-bill mes</t>
        </is>
      </c>
      <c r="B8" s="29">
        <f>IFERROR(B6/B5,"")</f>
        <v/>
      </c>
    </row>
    <row r="10" ht="30" customHeight="1">
      <c r="A10" s="25" t="inlineStr">
        <is>
          <t>Ventas del mes por canal</t>
        </is>
      </c>
      <c r="B10" s="25" t="inlineStr">
        <is>
          <t>m²</t>
        </is>
      </c>
      <c r="C10" s="25" t="inlineStr">
        <is>
          <t>Mix %</t>
        </is>
      </c>
    </row>
    <row r="11">
      <c r="A11" s="30" t="inlineStr">
        <is>
          <t>Industrial</t>
        </is>
      </c>
      <c r="B11" s="27" t="n"/>
      <c r="C11" s="28">
        <f>IFERROR(B11/SUM($B$11:$B$12),0)</f>
        <v/>
      </c>
    </row>
    <row r="12">
      <c r="A12" s="30" t="inlineStr">
        <is>
          <t>Distribution</t>
        </is>
      </c>
      <c r="B12" s="27" t="n"/>
      <c r="C12" s="28">
        <f>IFERROR(B12/SUM($B$11:$B$12),0)</f>
        <v/>
      </c>
    </row>
    <row r="14" ht="30" customHeight="1">
      <c r="A14" s="25" t="inlineStr">
        <is>
          <t>Ventas del mes por geografía</t>
        </is>
      </c>
      <c r="B14" s="25" t="inlineStr">
        <is>
          <t>m²</t>
        </is>
      </c>
      <c r="C14" s="25" t="inlineStr">
        <is>
          <t>Mix %</t>
        </is>
      </c>
    </row>
    <row r="15">
      <c r="A15" s="30" t="inlineStr">
        <is>
          <t>Colombia</t>
        </is>
      </c>
      <c r="B15" s="27" t="n"/>
      <c r="C15" s="28">
        <f>IFERROR(B15/SUM($B$15:$B$16),0)</f>
        <v/>
      </c>
    </row>
    <row r="16">
      <c r="A16" s="30" t="inlineStr">
        <is>
          <t>Other Geographies</t>
        </is>
      </c>
      <c r="B16" s="27" t="n"/>
      <c r="C16" s="28">
        <f>IFERROR(B16/SUM($B$15:$B$16),0)</f>
        <v/>
      </c>
    </row>
    <row r="18" ht="30" customHeight="1">
      <c r="A18" s="25" t="inlineStr">
        <is>
          <t>Otras geografías – país</t>
        </is>
      </c>
      <c r="B18" s="25" t="inlineStr">
        <is>
          <t>m² mes</t>
        </is>
      </c>
      <c r="C18" s="25" t="inlineStr">
        <is>
          <t>% del total OG</t>
        </is>
      </c>
      <c r="D18" s="25" t="inlineStr">
        <is>
          <t>Ranking</t>
        </is>
      </c>
    </row>
    <row r="19">
      <c r="A19" s="31" t="inlineStr">
        <is>
          <t>Ecuador</t>
        </is>
      </c>
      <c r="B19" s="27" t="n">
        <v>8828</v>
      </c>
      <c r="C19" s="28">
        <f>IFERROR(B19/SUM($B$19:$B$23),0)</f>
        <v/>
      </c>
      <c r="D19" s="32">
        <f>RANK(B19,$B$19:$B$23)</f>
        <v/>
      </c>
    </row>
    <row r="20">
      <c r="A20" s="31" t="inlineStr">
        <is>
          <t>Others</t>
        </is>
      </c>
      <c r="B20" s="27" t="n">
        <v>6421</v>
      </c>
      <c r="C20" s="28">
        <f>IFERROR(B20/SUM($B$19:$B$23),0)</f>
        <v/>
      </c>
      <c r="D20" s="32">
        <f>RANK(B20,$B$19:$B$23)</f>
        <v/>
      </c>
    </row>
    <row r="21">
      <c r="A21" s="31" t="inlineStr">
        <is>
          <t xml:space="preserve">Republica Dominicana </t>
        </is>
      </c>
      <c r="B21" s="27" t="n">
        <v>15144</v>
      </c>
      <c r="C21" s="28">
        <f>IFERROR(B21/SUM($B$19:$B$23),0)</f>
        <v/>
      </c>
      <c r="D21" s="32">
        <f>RANK(B21,$B$19:$B$23)</f>
        <v/>
      </c>
    </row>
    <row r="22">
      <c r="A22" s="31" t="inlineStr">
        <is>
          <t>Venezuela</t>
        </is>
      </c>
      <c r="B22" s="27" t="n">
        <v>9798</v>
      </c>
      <c r="C22" s="28">
        <f>IFERROR(B22/SUM($B$19:$B$23),0)</f>
        <v/>
      </c>
      <c r="D22" s="32">
        <f>RANK(B22,$B$19:$B$23)</f>
        <v/>
      </c>
    </row>
    <row r="23">
      <c r="A23" s="31" t="n"/>
      <c r="B23" s="27" t="n"/>
      <c r="C23" s="28">
        <f>IFERROR(B23/SUM($B$19:$B$23),0)</f>
        <v/>
      </c>
      <c r="D23" s="32">
        <f>RANK(B23,$B$19:$B$23)</f>
        <v/>
      </c>
    </row>
    <row r="24">
      <c r="A24" s="33" t="inlineStr">
        <is>
          <t>Total</t>
        </is>
      </c>
      <c r="B24" s="34">
        <f>SUM(B19:B23)</f>
        <v/>
      </c>
      <c r="C24" s="35">
        <f>SUM(C19:C23)</f>
        <v/>
      </c>
    </row>
    <row r="26" ht="30" customHeight="1">
      <c r="A26" s="25" t="inlineStr">
        <is>
          <t>Top pedidos del mes – Cliente</t>
        </is>
      </c>
      <c r="B26" s="25" t="inlineStr">
        <is>
          <t>Proyecto</t>
        </is>
      </c>
      <c r="C26" s="25" t="inlineStr">
        <is>
          <t>Canal</t>
        </is>
      </c>
      <c r="D26" s="25" t="inlineStr">
        <is>
          <t>Valor (USD mm, según deck)</t>
        </is>
      </c>
    </row>
    <row r="27">
      <c r="A27" s="31" t="inlineStr">
        <is>
          <t>Envases Tropicales</t>
        </is>
      </c>
      <c r="B27" s="31" t="inlineStr">
        <is>
          <t>Cubierta Envases Tropicales | LTORR-02071</t>
        </is>
      </c>
      <c r="C27" s="31" t="inlineStr">
        <is>
          <t>Other Geographies</t>
        </is>
      </c>
      <c r="D27" s="36" t="n">
        <v>306</v>
      </c>
    </row>
    <row r="28">
      <c r="A28" s="31" t="inlineStr">
        <is>
          <t>Industrial Nutricional Avícola</t>
        </is>
      </c>
      <c r="B28" s="31" t="inlineStr">
        <is>
          <t>Industria Nutricional Avícola</t>
        </is>
      </c>
      <c r="C28" s="31" t="inlineStr">
        <is>
          <t>Cold Storage</t>
        </is>
      </c>
      <c r="D28" s="36" t="n">
        <v>236</v>
      </c>
    </row>
    <row r="29">
      <c r="A29" s="31" t="inlineStr">
        <is>
          <t>C.C. Chipichape P.H.</t>
        </is>
      </c>
      <c r="B29" s="31" t="inlineStr">
        <is>
          <t>Recambio cubierta Chipichape – Bodega 04</t>
        </is>
      </c>
      <c r="C29" s="31" t="inlineStr">
        <is>
          <t>Industrial</t>
        </is>
      </c>
      <c r="D29" s="36" t="n">
        <v>173</v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0EDB6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58" customWidth="1" min="4" max="4"/>
    <col width="13" customWidth="1" min="5" max="5"/>
    <col width="12" customWidth="1" min="6" max="6"/>
  </cols>
  <sheetData>
    <row r="1">
      <c r="A1" s="101" t="inlineStr">
        <is>
          <t>19 · Order Intake por región (slide Commercial Overview)</t>
        </is>
      </c>
    </row>
    <row r="2">
      <c r="A2" s="102" t="inlineStr">
        <is>
          <t>Diligencie el OI del mes y el YTD por región (amarillo). Seleccione la vista en B4: el ranking y el gráfico se reordenan solos de mayor a menor volumen.</t>
        </is>
      </c>
    </row>
    <row r="4">
      <c r="A4" s="103" t="inlineStr">
        <is>
          <t>Vista del gráfico</t>
        </is>
      </c>
      <c r="B4" s="104" t="inlineStr">
        <is>
          <t>Mes</t>
        </is>
      </c>
    </row>
    <row r="6">
      <c r="A6" s="105" t="inlineStr">
        <is>
          <t>Región</t>
        </is>
      </c>
      <c r="B6" s="105" t="inlineStr">
        <is>
          <t>OI mes (m²)</t>
        </is>
      </c>
      <c r="C6" s="105" t="inlineStr">
        <is>
          <t>OI YTD (m²)</t>
        </is>
      </c>
      <c r="D6" s="105" t="inlineStr">
        <is>
          <t>Fuente / estado del dato</t>
        </is>
      </c>
      <c r="E6" s="105" t="inlineStr">
        <is>
          <t>Valor vista</t>
        </is>
      </c>
      <c r="F6" s="105" t="inlineStr">
        <is>
          <t>Clave orden (aux)</t>
        </is>
      </c>
    </row>
    <row r="7">
      <c r="A7" s="103" t="inlineStr">
        <is>
          <t>Colombia</t>
        </is>
      </c>
      <c r="B7" s="106" t="n">
        <v>104987</v>
      </c>
      <c r="C7" s="106" t="n"/>
      <c r="D7" s="107" t="inlineStr">
        <is>
          <t>Estimado: OI IMP mes − OI Otras Geografías (03_OI_Canal B7)</t>
        </is>
      </c>
      <c r="E7" s="108">
        <f>IF($B$4="YTD",C7,B7)</f>
        <v/>
      </c>
      <c r="F7" s="109">
        <f>N(E7)+(100-ROW())/1000000000</f>
        <v/>
      </c>
    </row>
    <row r="8">
      <c r="A8" s="103" t="inlineStr">
        <is>
          <t>Centro América</t>
        </is>
      </c>
      <c r="B8" s="106" t="n">
        <v>6756</v>
      </c>
      <c r="C8" s="106" t="n"/>
      <c r="D8" s="107" t="inlineStr">
        <is>
          <t>Estimado: Otras Geo × mix ventas 'Others' × peso pipeline CA</t>
        </is>
      </c>
      <c r="E8" s="108">
        <f>IF($B$4="YTD",C8,B8)</f>
        <v/>
      </c>
      <c r="F8" s="109">
        <f>N(E8)+(100-ROW())/1000000000</f>
        <v/>
      </c>
    </row>
    <row r="9">
      <c r="A9" s="103" t="inlineStr">
        <is>
          <t>Caribe</t>
        </is>
      </c>
      <c r="B9" s="106" t="n">
        <v>20935</v>
      </c>
      <c r="C9" s="106" t="n"/>
      <c r="D9" s="107" t="inlineStr">
        <is>
          <t>Estimado: Otras Geo × mix ventas Rep. Dominicana</t>
        </is>
      </c>
      <c r="E9" s="108">
        <f>IF($B$4="YTD",C9,B9)</f>
        <v/>
      </c>
      <c r="F9" s="109">
        <f>N(E9)+(100-ROW())/1000000000</f>
        <v/>
      </c>
    </row>
    <row r="10">
      <c r="A10" s="103" t="inlineStr">
        <is>
          <t>Ecuador</t>
        </is>
      </c>
      <c r="B10" s="106" t="n">
        <v>12204</v>
      </c>
      <c r="C10" s="106" t="n"/>
      <c r="D10" s="107" t="inlineStr">
        <is>
          <t>Estimado: Otras Geo × mix ventas Ecuador</t>
        </is>
      </c>
      <c r="E10" s="108">
        <f>IF($B$4="YTD",C10,B10)</f>
        <v/>
      </c>
      <c r="F10" s="109">
        <f>N(E10)+(100-ROW())/1000000000</f>
        <v/>
      </c>
    </row>
    <row r="11">
      <c r="A11" s="103" t="inlineStr">
        <is>
          <t>Perú</t>
        </is>
      </c>
      <c r="B11" s="106" t="n">
        <v>2120</v>
      </c>
      <c r="C11" s="106" t="n"/>
      <c r="D11" s="107" t="inlineStr">
        <is>
          <t>Estimado: Otras Geo × mix ventas 'Others' × peso pipeline Perú</t>
        </is>
      </c>
      <c r="E11" s="108">
        <f>IF($B$4="YTD",C11,B11)</f>
        <v/>
      </c>
      <c r="F11" s="109">
        <f>N(E11)+(100-ROW())/1000000000</f>
        <v/>
      </c>
    </row>
    <row r="12">
      <c r="A12" s="103" t="inlineStr">
        <is>
          <t>Venezuela</t>
        </is>
      </c>
      <c r="B12" s="106" t="n">
        <v>13545</v>
      </c>
      <c r="C12" s="106" t="n"/>
      <c r="D12" s="107" t="inlineStr">
        <is>
          <t>Estimado: Otras Geo × mix ventas Venezuela</t>
        </is>
      </c>
      <c r="E12" s="108">
        <f>IF($B$4="YTD",C12,B12)</f>
        <v/>
      </c>
      <c r="F12" s="109">
        <f>N(E12)+(100-ROW())/1000000000</f>
        <v/>
      </c>
    </row>
    <row r="13">
      <c r="A13" s="110" t="inlineStr">
        <is>
          <t>TOTAL</t>
        </is>
      </c>
      <c r="B13" s="111">
        <f>SUM(B7:B12)</f>
        <v/>
      </c>
      <c r="C13" s="111">
        <f>SUM(C7:C12)</f>
        <v/>
      </c>
      <c r="E13" s="111">
        <f>SUM(E7:E12)</f>
        <v/>
      </c>
    </row>
    <row r="14">
      <c r="A14" s="109" t="inlineStr">
        <is>
          <t>Control: Σ regiones mes − OI IMP mes (02_OI B7)</t>
        </is>
      </c>
      <c r="B14" s="108">
        <f>B13-'02_OI'!B7</f>
        <v/>
      </c>
    </row>
    <row r="15">
      <c r="A15" s="109" t="inlineStr">
        <is>
          <t>Control: Σ regiones YTD − OI IMP YTD (02_OI E7)</t>
        </is>
      </c>
      <c r="C15" s="108">
        <f>IF(C13=0,"Pendiente",C13-'02_OI'!E7)</f>
        <v/>
      </c>
    </row>
    <row r="17">
      <c r="A17" s="112" t="inlineStr">
        <is>
          <t>RANKING – fuente del gráfico (se ordena solo)</t>
        </is>
      </c>
    </row>
    <row r="18">
      <c r="A18" s="105" t="inlineStr">
        <is>
          <t>#</t>
        </is>
      </c>
      <c r="B18" s="105" t="inlineStr">
        <is>
          <t>Región</t>
        </is>
      </c>
      <c r="C18" s="105" t="inlineStr">
        <is>
          <t>m²</t>
        </is>
      </c>
      <c r="D18" s="105" t="inlineStr">
        <is>
          <t>% del total</t>
        </is>
      </c>
    </row>
    <row r="19">
      <c r="A19" s="103" t="n">
        <v>1</v>
      </c>
      <c r="B19" s="103">
        <f>INDEX($A$7:$A$12,MATCH(LARGE($F$7:$F$12,A19),$F$7:$F$12,0))</f>
        <v/>
      </c>
      <c r="C19" s="108">
        <f>INDEX($E$7:$E$12,MATCH(LARGE($F$7:$F$12,A19),$F$7:$F$12,0))</f>
        <v/>
      </c>
      <c r="D19" s="113">
        <f>IFERROR(C19/$E$13,0)</f>
        <v/>
      </c>
    </row>
    <row r="20">
      <c r="A20" s="103" t="n">
        <v>2</v>
      </c>
      <c r="B20" s="103">
        <f>INDEX($A$7:$A$12,MATCH(LARGE($F$7:$F$12,A20),$F$7:$F$12,0))</f>
        <v/>
      </c>
      <c r="C20" s="108">
        <f>INDEX($E$7:$E$12,MATCH(LARGE($F$7:$F$12,A20),$F$7:$F$12,0))</f>
        <v/>
      </c>
      <c r="D20" s="113">
        <f>IFERROR(C20/$E$13,0)</f>
        <v/>
      </c>
    </row>
    <row r="21">
      <c r="A21" s="103" t="n">
        <v>3</v>
      </c>
      <c r="B21" s="103">
        <f>INDEX($A$7:$A$12,MATCH(LARGE($F$7:$F$12,A21),$F$7:$F$12,0))</f>
        <v/>
      </c>
      <c r="C21" s="108">
        <f>INDEX($E$7:$E$12,MATCH(LARGE($F$7:$F$12,A21),$F$7:$F$12,0))</f>
        <v/>
      </c>
      <c r="D21" s="113">
        <f>IFERROR(C21/$E$13,0)</f>
        <v/>
      </c>
    </row>
    <row r="22">
      <c r="A22" s="103" t="n">
        <v>4</v>
      </c>
      <c r="B22" s="103">
        <f>INDEX($A$7:$A$12,MATCH(LARGE($F$7:$F$12,A22),$F$7:$F$12,0))</f>
        <v/>
      </c>
      <c r="C22" s="108">
        <f>INDEX($E$7:$E$12,MATCH(LARGE($F$7:$F$12,A22),$F$7:$F$12,0))</f>
        <v/>
      </c>
      <c r="D22" s="113">
        <f>IFERROR(C22/$E$13,0)</f>
        <v/>
      </c>
    </row>
    <row r="23">
      <c r="A23" s="103" t="n">
        <v>5</v>
      </c>
      <c r="B23" s="103">
        <f>INDEX($A$7:$A$12,MATCH(LARGE($F$7:$F$12,A23),$F$7:$F$12,0))</f>
        <v/>
      </c>
      <c r="C23" s="108">
        <f>INDEX($E$7:$E$12,MATCH(LARGE($F$7:$F$12,A23),$F$7:$F$12,0))</f>
        <v/>
      </c>
      <c r="D23" s="113">
        <f>IFERROR(C23/$E$13,0)</f>
        <v/>
      </c>
    </row>
    <row r="24">
      <c r="A24" s="103" t="n">
        <v>6</v>
      </c>
      <c r="B24" s="103">
        <f>INDEX($A$7:$A$12,MATCH(LARGE($F$7:$F$12,A24),$F$7:$F$12,0))</f>
        <v/>
      </c>
      <c r="C24" s="108">
        <f>INDEX($E$7:$E$12,MATCH(LARGE($F$7:$F$12,A24),$F$7:$F$12,0))</f>
        <v/>
      </c>
      <c r="D24" s="113">
        <f>IFERROR(C24/$E$13,0)</f>
        <v/>
      </c>
    </row>
    <row r="26">
      <c r="A26" s="102" t="inlineStr">
        <is>
          <t>Las celdas en salmón son estimaciones iniciales: reemplácelas con el OI real por país.</t>
        </is>
      </c>
    </row>
  </sheetData>
  <dataValidations count="1">
    <dataValidation sqref="B4" showDropDown="0" showInputMessage="0" showErrorMessage="0" allowBlank="0" type="list">
      <formula1>"Mes,YTD"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061530"/>
    <outlinePr summaryBelow="1" summaryRight="1"/>
    <pageSetUpPr/>
  </sheetPr>
  <dimension ref="A1:J28"/>
  <sheetViews>
    <sheetView showGridLines="0" zoomScaleNormal="100" workbookViewId="0">
      <selection activeCell="D23" sqref="D23"/>
    </sheetView>
  </sheetViews>
  <sheetFormatPr baseColWidth="10" defaultColWidth="8.7109375" defaultRowHeight="15"/>
  <cols>
    <col width="30" customWidth="1" min="1" max="1"/>
    <col width="13" customWidth="1" min="2" max="2"/>
    <col width="16" customWidth="1" min="3" max="4"/>
    <col width="13" customWidth="1" min="5" max="6"/>
    <col width="16" customWidth="1" min="7" max="8"/>
    <col width="16" customWidth="1" min="9" max="9"/>
    <col width="16" customWidth="1" min="10" max="10"/>
  </cols>
  <sheetData>
    <row r="1" ht="18" customHeight="1">
      <c r="A1" s="2" t="inlineStr">
        <is>
          <t xml:space="preserve">02 · Order Intake – Octuber </t>
        </is>
      </c>
    </row>
    <row r="2">
      <c r="A2" s="24" t="inlineStr">
        <is>
          <t>Tabla por producto + progresión mensual de ingresos y margen</t>
        </is>
      </c>
    </row>
    <row r="4">
      <c r="A4" s="26" t="inlineStr">
        <is>
          <t>Mes de corte (1-12)</t>
        </is>
      </c>
      <c r="B4" s="37" t="n">
        <v>10</v>
      </c>
    </row>
    <row r="6" ht="30" customHeight="1">
      <c r="A6" s="25" t="inlineStr">
        <is>
          <t>Producto / métrica</t>
        </is>
      </c>
      <c r="B6" s="25" t="inlineStr">
        <is>
          <t>Mes actual</t>
        </is>
      </c>
      <c r="C6" s="25" t="inlineStr">
        <is>
          <t>PY</t>
        </is>
      </c>
      <c r="D6" s="25" t="inlineStr">
        <is>
          <t>YoY mes</t>
        </is>
      </c>
      <c r="E6" s="25" t="inlineStr">
        <is>
          <t>YTD</t>
        </is>
      </c>
      <c r="F6" s="25" t="inlineStr">
        <is>
          <t>Prior YTD</t>
        </is>
      </c>
      <c r="G6" s="25" t="inlineStr">
        <is>
          <t>YoY YTD</t>
        </is>
      </c>
    </row>
    <row r="7">
      <c r="A7" s="26" t="inlineStr">
        <is>
          <t>IMP – Volume (m²)</t>
        </is>
      </c>
      <c r="B7" s="27" t="n">
        <v>160547</v>
      </c>
      <c r="C7" s="27" t="n">
        <v>132786</v>
      </c>
      <c r="D7" s="28">
        <f>IF(OR(B7="",C7=""),"",IF(C7=0,"n.a.",B7/C7-1))</f>
        <v/>
      </c>
      <c r="E7" s="27" t="n">
        <v>1400088</v>
      </c>
      <c r="F7" s="27" t="n">
        <v>1120898</v>
      </c>
      <c r="G7" s="28">
        <f>IF(OR(E7="",F7=""),"",IF(F7=0,"n.a.",E7/F7-1))</f>
        <v/>
      </c>
    </row>
    <row r="8">
      <c r="A8" s="26" t="inlineStr">
        <is>
          <t>Kingcore – Volume (m²)</t>
        </is>
      </c>
      <c r="B8" s="27" t="n">
        <v>20793</v>
      </c>
      <c r="C8" s="27" t="n">
        <v>10126</v>
      </c>
      <c r="D8" s="28">
        <f>IF(OR(B8="",C8=""),"",IF(C8=0,"n.a.",B8/C8-1))</f>
        <v/>
      </c>
      <c r="E8" s="27" t="n">
        <v>229903</v>
      </c>
      <c r="F8" s="27" t="n">
        <v>88736</v>
      </c>
      <c r="G8" s="28">
        <f>IF(OR(E8="",F8=""),"",IF(F8=0,"n.a.",E8/F8-1))</f>
        <v/>
      </c>
    </row>
    <row r="9">
      <c r="A9" s="26" t="inlineStr">
        <is>
          <t>Single Skin – Volume (m²)</t>
        </is>
      </c>
      <c r="B9" s="27" t="n">
        <v>16271</v>
      </c>
      <c r="C9" s="27" t="n">
        <v>13834</v>
      </c>
      <c r="D9" s="28">
        <f>IF(OR(B9="",C9=""),"",IF(C9=0,"n.a.",B9/C9-1))</f>
        <v/>
      </c>
      <c r="E9" s="27" t="n">
        <v>122613</v>
      </c>
      <c r="F9" s="27" t="n">
        <v>52330</v>
      </c>
      <c r="G9" s="28">
        <f>IF(OR(E9="",F9=""),"",IF(F9=0,"n.a.",E9/F9-1))</f>
        <v/>
      </c>
    </row>
    <row r="10">
      <c r="A10" s="26" t="inlineStr">
        <is>
          <t>Benchmark – Volume (m²)</t>
        </is>
      </c>
      <c r="B10" s="27" t="n">
        <v>7880</v>
      </c>
      <c r="C10" s="27" t="n">
        <v>0</v>
      </c>
      <c r="D10" s="28">
        <f>IF(OR(B10="",C10=""),"",IF(C10=0,"n.a.",B10/C10-1))</f>
        <v/>
      </c>
      <c r="E10" s="27" t="n">
        <v>5817</v>
      </c>
      <c r="F10" s="27" t="n">
        <v>563</v>
      </c>
      <c r="G10" s="28">
        <f>IF(OR(E10="",F10=""),"",IF(F10=0,"n.a.",E10/F10-1))</f>
        <v/>
      </c>
    </row>
    <row r="11">
      <c r="A11" s="26" t="inlineStr">
        <is>
          <t>IMP – Revenue (COP MM)</t>
        </is>
      </c>
      <c r="B11" s="27" t="n">
        <v>14484</v>
      </c>
      <c r="C11" s="27" t="n">
        <v>12723</v>
      </c>
      <c r="D11" s="28">
        <f>IF(OR(B11="",C11=""),"",IF(C11=0,"n.a.",B11/C11-1))</f>
        <v/>
      </c>
      <c r="E11" s="27" t="n">
        <v>144659</v>
      </c>
      <c r="F11" s="27" t="n">
        <v>108228</v>
      </c>
      <c r="G11" s="28">
        <f>IF(OR(E11="",F11=""),"",IF(F11=0,"n.a.",E11/F11-1))</f>
        <v/>
      </c>
    </row>
    <row r="12">
      <c r="A12" s="26" t="inlineStr">
        <is>
          <t>Margen (Gross-STD)</t>
        </is>
      </c>
      <c r="B12" s="38" t="n">
        <v>0.27</v>
      </c>
      <c r="C12" s="38" t="n">
        <v>0.24</v>
      </c>
      <c r="D12" s="39">
        <f>IF(OR(B12="",C12=""),"",(B12-C12)*100)</f>
        <v/>
      </c>
      <c r="E12" s="38" t="n">
        <v>0.25</v>
      </c>
      <c r="F12" s="38" t="n">
        <v>0.24</v>
      </c>
      <c r="G12" s="39">
        <f>IF(OR(E12="",F12=""),"",(E12-F12)*100)</f>
        <v/>
      </c>
    </row>
    <row r="14" ht="30" customHeight="1">
      <c r="A14" s="25" t="inlineStr">
        <is>
          <t>N° mes</t>
        </is>
      </c>
      <c r="B14" s="25" t="inlineStr">
        <is>
          <t>Mes</t>
        </is>
      </c>
      <c r="C14" s="25" t="inlineStr">
        <is>
          <t>Ingresos CY (COP MM)</t>
        </is>
      </c>
      <c r="D14" s="25" t="inlineStr">
        <is>
          <t>Ingresos PY (COP MM)</t>
        </is>
      </c>
      <c r="E14" s="25" t="inlineStr">
        <is>
          <t>YoY</t>
        </is>
      </c>
      <c r="F14" s="25" t="inlineStr">
        <is>
          <t>Margen CY %</t>
        </is>
      </c>
      <c r="G14" s="25" t="inlineStr">
        <is>
          <t>Fuente gráfico: CY</t>
        </is>
      </c>
      <c r="H14" s="25" t="inlineStr">
        <is>
          <t>Fuente gráfico: PY</t>
        </is>
      </c>
      <c r="I14" s="114" t="inlineStr">
        <is>
          <t>Etiqueta barra 2026: OI m²</t>
        </is>
      </c>
      <c r="J14" s="114" t="inlineStr">
        <is>
          <t>Etiqueta barra 2025: OI m² (input)</t>
        </is>
      </c>
    </row>
    <row r="15">
      <c r="A15" s="32" t="n">
        <v>1</v>
      </c>
      <c r="B15" s="30" t="inlineStr">
        <is>
          <t>Jan</t>
        </is>
      </c>
      <c r="C15" s="40" t="n">
        <v>9968.165999999999</v>
      </c>
      <c r="D15" s="40" t="n">
        <v>7958.8</v>
      </c>
      <c r="E15" s="28">
        <f>IF(OR(C15="",D15=""),"",IF(D15=0,"n.a.",C15/D15-1))</f>
        <v/>
      </c>
      <c r="F15" s="38" t="n">
        <v>0.251</v>
      </c>
      <c r="G15" s="41">
        <f>IF(A15&lt;=$B$4,C15,"")</f>
        <v/>
      </c>
      <c r="H15" s="41">
        <f>D15</f>
        <v/>
      </c>
      <c r="I15" s="108">
        <f>IF(A15&lt;=$B$4,'06_Perf_Forecast'!E7,"")</f>
        <v/>
      </c>
      <c r="J15" s="106" t="n"/>
    </row>
    <row r="16">
      <c r="A16" s="32" t="n">
        <v>2</v>
      </c>
      <c r="B16" s="30" t="inlineStr">
        <is>
          <t>Feb</t>
        </is>
      </c>
      <c r="C16" s="40" t="n">
        <v>12767.714</v>
      </c>
      <c r="D16" s="40" t="n">
        <v>10536.7</v>
      </c>
      <c r="E16" s="28">
        <f>IF(OR(C16="",D16=""),"",IF(D16=0,"n.a.",C16/D16-1))</f>
        <v/>
      </c>
      <c r="F16" s="38" t="n">
        <v>0.254</v>
      </c>
      <c r="G16" s="41">
        <f>IF(A16&lt;=$B$4,C16,"")</f>
        <v/>
      </c>
      <c r="H16" s="41">
        <f>D16</f>
        <v/>
      </c>
      <c r="I16" s="108">
        <f>IF(A16&lt;=$B$4,'06_Perf_Forecast'!E8,"")</f>
        <v/>
      </c>
      <c r="J16" s="106" t="n"/>
    </row>
    <row r="17">
      <c r="A17" s="32" t="n">
        <v>3</v>
      </c>
      <c r="B17" s="30" t="inlineStr">
        <is>
          <t>Mar</t>
        </is>
      </c>
      <c r="C17" s="40" t="n">
        <v>14462.925</v>
      </c>
      <c r="D17" s="40" t="n">
        <v>12471.2</v>
      </c>
      <c r="E17" s="28">
        <f>IF(OR(C17="",D17=""),"",IF(D17=0,"n.a.",C17/D17-1))</f>
        <v/>
      </c>
      <c r="F17" s="38" t="n">
        <v>0.261</v>
      </c>
      <c r="G17" s="41">
        <f>IF(A17&lt;=$B$4,C17,"")</f>
        <v/>
      </c>
      <c r="H17" s="41">
        <f>D17</f>
        <v/>
      </c>
      <c r="I17" s="108">
        <f>IF(A17&lt;=$B$4,'06_Perf_Forecast'!E9,"")</f>
        <v/>
      </c>
      <c r="J17" s="106" t="n"/>
    </row>
    <row r="18">
      <c r="A18" s="32" t="n">
        <v>4</v>
      </c>
      <c r="B18" s="30" t="inlineStr">
        <is>
          <t>Apr</t>
        </is>
      </c>
      <c r="C18" s="40" t="n">
        <v>12270.448</v>
      </c>
      <c r="D18" s="40" t="n">
        <v>9577</v>
      </c>
      <c r="E18" s="28">
        <f>IF(OR(C18="",D18=""),"",IF(D18=0,"n.a.",C18/D18-1))</f>
        <v/>
      </c>
      <c r="F18" s="38" t="n">
        <v>0.257</v>
      </c>
      <c r="G18" s="41">
        <f>IF(A18&lt;=$B$4,C18,"")</f>
        <v/>
      </c>
      <c r="H18" s="41">
        <f>D18</f>
        <v/>
      </c>
      <c r="I18" s="108">
        <f>IF(A18&lt;=$B$4,'06_Perf_Forecast'!E10,"")</f>
        <v/>
      </c>
      <c r="J18" s="106" t="n"/>
    </row>
    <row r="19">
      <c r="A19" s="32" t="n">
        <v>5</v>
      </c>
      <c r="B19" s="30" t="inlineStr">
        <is>
          <t>May</t>
        </is>
      </c>
      <c r="C19" s="40" t="n">
        <v>27093.858</v>
      </c>
      <c r="D19" s="40" t="n">
        <v>8092</v>
      </c>
      <c r="E19" s="28">
        <f>IF(OR(C19="",D19=""),"",IF(D19=0,"n.a.",C19/D19-1))</f>
        <v/>
      </c>
      <c r="F19" s="38" t="n">
        <v>0.209</v>
      </c>
      <c r="G19" s="41">
        <f>IF(A19&lt;=$B$4,C19,"")</f>
        <v/>
      </c>
      <c r="H19" s="41">
        <f>D19</f>
        <v/>
      </c>
      <c r="I19" s="108">
        <f>IF(A19&lt;=$B$4,'06_Perf_Forecast'!E11,"")</f>
        <v/>
      </c>
      <c r="J19" s="106" t="n"/>
    </row>
    <row r="20">
      <c r="A20" s="32" t="n">
        <v>6</v>
      </c>
      <c r="B20" s="30" t="inlineStr">
        <is>
          <t>Jun</t>
        </is>
      </c>
      <c r="C20" s="40" t="n">
        <v>13652.194</v>
      </c>
      <c r="D20" s="40" t="n">
        <v>11810.8</v>
      </c>
      <c r="E20" s="28">
        <f>IF(OR(C20="",D20=""),"",IF(D20=0,"n.a.",C20/D20-1))</f>
        <v/>
      </c>
      <c r="F20" s="38" t="n">
        <v>0.285</v>
      </c>
      <c r="G20" s="41">
        <f>IF(A20&lt;=$B$4,C20,"")</f>
        <v/>
      </c>
      <c r="H20" s="41">
        <f>D20</f>
        <v/>
      </c>
      <c r="I20" s="108">
        <f>IF(A20&lt;=$B$4,'06_Perf_Forecast'!E12,"")</f>
        <v/>
      </c>
      <c r="J20" s="106" t="n"/>
    </row>
    <row r="21">
      <c r="A21" s="32" t="n">
        <v>7</v>
      </c>
      <c r="B21" s="30" t="inlineStr">
        <is>
          <t>Jul</t>
        </is>
      </c>
      <c r="C21" s="40" t="n">
        <v>11718.909</v>
      </c>
      <c r="D21" s="40" t="n">
        <v>7612.5</v>
      </c>
      <c r="E21" s="28">
        <f>IF(OR(C21="",D21=""),"",IF(D21=0,"n.a.",C21/D21-1))</f>
        <v/>
      </c>
      <c r="F21" s="38" t="n">
        <v>0.273</v>
      </c>
      <c r="G21" s="41">
        <f>IF(A21&lt;=$B$4,C21,"")</f>
        <v/>
      </c>
      <c r="H21" s="41">
        <f>D21</f>
        <v/>
      </c>
      <c r="I21" s="108">
        <f>IF(A21&lt;=$B$4,'06_Perf_Forecast'!E13,"")</f>
        <v/>
      </c>
      <c r="J21" s="106" t="n"/>
    </row>
    <row r="22">
      <c r="A22" s="32" t="n">
        <v>8</v>
      </c>
      <c r="B22" s="30" t="inlineStr">
        <is>
          <t>Aug</t>
        </is>
      </c>
      <c r="C22" s="40" t="n">
        <v>14500.72</v>
      </c>
      <c r="D22" s="40" t="n">
        <v>16772.6</v>
      </c>
      <c r="E22" s="28">
        <f>IF(OR(C22="",D22=""),"",IF(D22=0,"n.a.",C22/D22-1))</f>
        <v/>
      </c>
      <c r="F22" s="38" t="n">
        <v>0.268</v>
      </c>
      <c r="G22" s="41">
        <f>IF(A22&lt;=$B$4,C22,"")</f>
        <v/>
      </c>
      <c r="H22" s="41">
        <f>D22</f>
        <v/>
      </c>
      <c r="I22" s="108">
        <f>IF(A22&lt;=$B$4,'06_Perf_Forecast'!E14,"")</f>
        <v/>
      </c>
      <c r="J22" s="106" t="n"/>
    </row>
    <row r="23">
      <c r="A23" s="32" t="n">
        <v>9</v>
      </c>
      <c r="B23" s="30" t="inlineStr">
        <is>
          <t>Sep</t>
        </is>
      </c>
      <c r="C23" s="40" t="n">
        <v>13740.67</v>
      </c>
      <c r="D23" s="40" t="n">
        <v>10673.6</v>
      </c>
      <c r="E23" s="28">
        <f>IF(OR(C23="",D23=""),"",IF(D23=0,"n.a.",C23/D23-1))</f>
        <v/>
      </c>
      <c r="F23" s="38" t="n">
        <v>0.271</v>
      </c>
      <c r="G23" s="41">
        <f>IF(A23&lt;=$B$4,C23,"")</f>
        <v/>
      </c>
      <c r="H23" s="41">
        <f>D23</f>
        <v/>
      </c>
      <c r="I23" s="108">
        <f>IF(A23&lt;=$B$4,'06_Perf_Forecast'!E15,"")</f>
        <v/>
      </c>
      <c r="J23" s="106" t="n"/>
    </row>
    <row r="24">
      <c r="A24" s="32" t="n">
        <v>10</v>
      </c>
      <c r="B24" s="30" t="inlineStr">
        <is>
          <t>Oct</t>
        </is>
      </c>
      <c r="C24" s="40" t="n">
        <v>14484</v>
      </c>
      <c r="D24" s="40" t="n">
        <v>12723.1</v>
      </c>
      <c r="E24" s="28">
        <f>IF(OR(C24="",D24=""),"",IF(D24=0,"n.a.",C24/D24-1))</f>
        <v/>
      </c>
      <c r="F24" s="38">
        <f>B12</f>
        <v/>
      </c>
      <c r="G24" s="41">
        <f>IF(A24&lt;=$B$4,C24,"")</f>
        <v/>
      </c>
      <c r="H24" s="41">
        <f>D24</f>
        <v/>
      </c>
      <c r="I24" s="108">
        <f>IF(A24&lt;=$B$4,'06_Perf_Forecast'!E16,"")</f>
        <v/>
      </c>
      <c r="J24" s="106" t="n"/>
    </row>
    <row r="25">
      <c r="A25" s="32" t="n">
        <v>11</v>
      </c>
      <c r="B25" s="30" t="inlineStr">
        <is>
          <t>Nov</t>
        </is>
      </c>
      <c r="C25" s="40" t="n"/>
      <c r="D25" s="40" t="n">
        <v>12445.1</v>
      </c>
      <c r="E25" s="28">
        <f>IF(OR(C25="",D25=""),"",IF(D25=0,"n.a.",C25/D25-1))</f>
        <v/>
      </c>
      <c r="F25" s="38" t="n"/>
      <c r="G25" s="41">
        <f>IF(A25&lt;=$B$4,C25,"")</f>
        <v/>
      </c>
      <c r="H25" s="41">
        <f>D25</f>
        <v/>
      </c>
      <c r="I25" s="108">
        <f>IF(A25&lt;=$B$4,'06_Perf_Forecast'!E17,"")</f>
        <v/>
      </c>
      <c r="J25" s="106" t="n"/>
    </row>
    <row r="26">
      <c r="A26" s="32" t="n">
        <v>12</v>
      </c>
      <c r="B26" s="30" t="inlineStr">
        <is>
          <t>Dec</t>
        </is>
      </c>
      <c r="C26" s="40" t="n"/>
      <c r="D26" s="40" t="n">
        <v>10462.4</v>
      </c>
      <c r="E26" s="28">
        <f>IF(OR(C26="",D26=""),"",IF(D26=0,"n.a.",C26/D26-1))</f>
        <v/>
      </c>
      <c r="F26" s="38" t="n"/>
      <c r="G26" s="41">
        <f>IF(A26&lt;=$B$4,C26,"")</f>
        <v/>
      </c>
      <c r="H26" s="41">
        <f>D26</f>
        <v/>
      </c>
      <c r="I26" s="108">
        <f>IF(A26&lt;=$B$4,'06_Perf_Forecast'!E18,"")</f>
        <v/>
      </c>
      <c r="J26" s="106" t="n"/>
    </row>
    <row r="27">
      <c r="B27" s="33" t="inlineStr">
        <is>
          <t>YTD</t>
        </is>
      </c>
      <c r="C27" s="42">
        <f>SUMIFS(C15:C26,A15:A26,"&lt;="&amp;$B$4)</f>
        <v/>
      </c>
      <c r="D27" s="42">
        <f>SUMIFS(D15:D26,A15:A26,"&lt;="&amp;$B$4)</f>
        <v/>
      </c>
      <c r="E27" s="35">
        <f>IF(OR(C27="",D27=""),"",IF(D27=0,"n.a.",C27/D27-1))</f>
        <v/>
      </c>
    </row>
    <row r="28">
      <c r="B28" s="26" t="inlineStr">
        <is>
          <t>Control vs tabla</t>
        </is>
      </c>
      <c r="C28" s="43">
        <f>C27-E11</f>
        <v/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61530"/>
    <outlinePr summaryBelow="1" summaryRight="1"/>
    <pageSetUpPr/>
  </sheetPr>
  <dimension ref="A1:L14"/>
  <sheetViews>
    <sheetView showGridLines="0" zoomScaleNormal="100" workbookViewId="0">
      <selection activeCell="G38" sqref="G38"/>
    </sheetView>
  </sheetViews>
  <sheetFormatPr baseColWidth="10" defaultColWidth="8.7109375" defaultRowHeight="15"/>
  <cols>
    <col width="22" customWidth="1" min="1" max="1"/>
    <col width="14" customWidth="1" min="2" max="2"/>
    <col width="13" customWidth="1" min="3" max="3"/>
    <col width="10" customWidth="1" min="4" max="7"/>
    <col width="15" customWidth="1" min="8" max="8"/>
    <col width="10" customWidth="1" min="9" max="9"/>
    <col width="14" customWidth="1" min="10" max="11"/>
    <col width="12" customWidth="1" min="12" max="12"/>
  </cols>
  <sheetData>
    <row r="1" ht="18" customHeight="1">
      <c r="A1" s="2" t="inlineStr">
        <is>
          <t>03 · Order Intake por canal (IMP)</t>
        </is>
      </c>
    </row>
    <row r="2">
      <c r="A2" s="24" t="inlineStr">
        <is>
          <t>CM / PY / YoY / Gross Margin por canal · YTD y mix se alimentan de las hojas RSM (09–14)</t>
        </is>
      </c>
      <c r="G2" t="n">
        <v>157039</v>
      </c>
      <c r="H2" t="n">
        <v>160547</v>
      </c>
      <c r="I2">
        <f t="array" ref="I2:I3">H2-G1:G2</f>
        <v/>
      </c>
    </row>
    <row r="3">
      <c r="I3" t="n">
        <v>3508</v>
      </c>
    </row>
    <row r="4" ht="30" customHeight="1">
      <c r="A4" s="25" t="inlineStr">
        <is>
          <t>Canal</t>
        </is>
      </c>
      <c r="B4" s="25" t="inlineStr">
        <is>
          <t>OI mes CM (m²)</t>
        </is>
      </c>
      <c r="C4" s="25" t="inlineStr">
        <is>
          <t>OI mes PY (m²)</t>
        </is>
      </c>
      <c r="D4" s="25" t="inlineStr">
        <is>
          <t>YoY mes</t>
        </is>
      </c>
      <c r="E4" s="25" t="inlineStr">
        <is>
          <t>GM % CM</t>
        </is>
      </c>
      <c r="F4" s="25" t="inlineStr">
        <is>
          <t>GM % PY</t>
        </is>
      </c>
      <c r="G4" s="25" t="inlineStr">
        <is>
          <t>Δ GM (pp)</t>
        </is>
      </c>
      <c r="H4" s="25" t="inlineStr">
        <is>
          <t>OI YTD m² (RSM)</t>
        </is>
      </c>
      <c r="I4" s="25" t="inlineStr">
        <is>
          <t>Mix YTD %</t>
        </is>
      </c>
      <c r="J4" s="25" t="inlineStr">
        <is>
          <t>Ventas YTD m²</t>
        </is>
      </c>
      <c r="K4" s="25" t="inlineStr">
        <is>
          <t>Budget YTD m²</t>
        </is>
      </c>
      <c r="L4" s="25" t="inlineStr">
        <is>
          <t>% Cumpl. ventas</t>
        </is>
      </c>
    </row>
    <row r="5">
      <c r="A5" s="26" t="inlineStr">
        <is>
          <t>Industrial</t>
        </is>
      </c>
      <c r="B5" s="95">
        <f>62296-13276+3508</f>
        <v/>
      </c>
      <c r="C5" s="27" t="n">
        <v>40646</v>
      </c>
      <c r="D5" s="28">
        <f>IF(OR(B5="",C5=""),"",IF(C5=0,"n.a.",B5/C5-1))</f>
        <v/>
      </c>
      <c r="E5" s="38" t="n">
        <v>0.330748098740956</v>
      </c>
      <c r="F5" s="38" t="n">
        <v>0.286920827517033</v>
      </c>
      <c r="G5" s="39">
        <f>IF(OR(E5="",F5=""),"",(E5-F5)*100)</f>
        <v/>
      </c>
      <c r="H5" s="44">
        <f>'09_RSM_Industrial'!C18</f>
        <v/>
      </c>
      <c r="I5" s="28">
        <f>IFERROR(H5/$H$11,0)</f>
        <v/>
      </c>
      <c r="J5" s="44">
        <f>'09_RSM_Industrial'!D18</f>
        <v/>
      </c>
      <c r="K5" s="44">
        <f>'09_RSM_Industrial'!E18</f>
        <v/>
      </c>
      <c r="L5" s="45">
        <f>IFERROR(J5/K5,0)</f>
        <v/>
      </c>
    </row>
    <row r="6">
      <c r="A6" s="26" t="inlineStr">
        <is>
          <t>Distribución</t>
        </is>
      </c>
      <c r="B6" s="27" t="n">
        <v>29274</v>
      </c>
      <c r="C6" s="27" t="n">
        <v>53212</v>
      </c>
      <c r="D6" s="28">
        <f>IF(OR(B6="",C6=""),"",IF(C6=0,"n.a.",B6/C6-1))</f>
        <v/>
      </c>
      <c r="E6" s="38" t="n">
        <v>0.330748098740956</v>
      </c>
      <c r="F6" s="38" t="n">
        <v>0.270100403669289</v>
      </c>
      <c r="G6" s="39">
        <f>IF(OR(E6="",F6=""),"",(E6-F6)*100)</f>
        <v/>
      </c>
      <c r="H6" s="44">
        <f>'10_RSM_Distribucion'!C20</f>
        <v/>
      </c>
      <c r="I6" s="28">
        <f>IFERROR(H6/$H$11,0)</f>
        <v/>
      </c>
      <c r="J6" s="44">
        <f>'10_RSM_Distribucion'!D20</f>
        <v/>
      </c>
      <c r="K6" s="44">
        <f>'10_RSM_Distribucion'!E20</f>
        <v/>
      </c>
      <c r="L6" s="45">
        <f>IFERROR(J6/K6,0)</f>
        <v/>
      </c>
    </row>
    <row r="7">
      <c r="A7" s="26" t="inlineStr">
        <is>
          <t>Otras Geografías</t>
        </is>
      </c>
      <c r="B7" s="27" t="n">
        <v>55560</v>
      </c>
      <c r="C7" s="27" t="n">
        <v>36701</v>
      </c>
      <c r="D7" s="28">
        <f>IF(OR(B7="",C7=""),"",IF(C7=0,"n.a.",B7/C7-1))</f>
        <v/>
      </c>
      <c r="E7" s="38" t="n">
        <v>0.160217415516132</v>
      </c>
      <c r="F7" s="38" t="n">
        <v>0.104274012878321</v>
      </c>
      <c r="G7" s="39">
        <f>IF(OR(E7="",F7=""),"",(E7-F7)*100)</f>
        <v/>
      </c>
      <c r="H7" s="44">
        <f>'11_RSM_Otras_Geo'!C20</f>
        <v/>
      </c>
      <c r="I7" s="28">
        <f>IFERROR(H7/$H$11,0)</f>
        <v/>
      </c>
      <c r="J7" s="44">
        <f>'11_RSM_Otras_Geo'!D20</f>
        <v/>
      </c>
      <c r="K7" s="44">
        <f>'11_RSM_Otras_Geo'!E20</f>
        <v/>
      </c>
      <c r="L7" s="45">
        <f>IFERROR(J7/K7,0)</f>
        <v/>
      </c>
    </row>
    <row r="8">
      <c r="A8" s="26" t="inlineStr">
        <is>
          <t>Cold Storage</t>
        </is>
      </c>
      <c r="B8" s="27" t="n">
        <v>10911</v>
      </c>
      <c r="C8" s="27" t="n">
        <v>0</v>
      </c>
      <c r="D8" s="46">
        <f>IF(OR(B8="",C8=""),"",IF(C8=0,"n.a.",B8/C8-1))</f>
        <v/>
      </c>
      <c r="E8" s="38" t="n">
        <v>0.287105167665491</v>
      </c>
      <c r="F8" s="38" t="n">
        <v>0.386802424242424</v>
      </c>
      <c r="G8" s="39">
        <f>IF(OR(E8="",F8=""),"",(E8-F8)*100)</f>
        <v/>
      </c>
      <c r="H8" s="44">
        <f>'12_RSM_Cold_Storage'!C20</f>
        <v/>
      </c>
      <c r="I8" s="28">
        <f>IFERROR(H8/$H$11,0)</f>
        <v/>
      </c>
      <c r="J8" s="44">
        <f>'12_RSM_Cold_Storage'!D20</f>
        <v/>
      </c>
      <c r="K8" s="44">
        <f>'12_RSM_Cold_Storage'!E20</f>
        <v/>
      </c>
      <c r="L8" s="45">
        <f>IFERROR(J8/K8,0)</f>
        <v/>
      </c>
    </row>
    <row r="9">
      <c r="A9" s="26" t="inlineStr">
        <is>
          <t>Site Cali</t>
        </is>
      </c>
      <c r="B9" s="27" t="n">
        <v>6625</v>
      </c>
      <c r="C9" s="27" t="n">
        <v>0</v>
      </c>
      <c r="D9" s="46">
        <f>IF(OR(B9="",C9=""),"",IF(C9=0,"n.a.",B9/C9-1))</f>
        <v/>
      </c>
      <c r="E9" s="38" t="n">
        <v>0.350592747883966</v>
      </c>
      <c r="F9" s="38" t="n">
        <v>0</v>
      </c>
      <c r="G9" s="39">
        <f>IF(OR(E9="",F9=""),"",(E9-F9)*100)</f>
        <v/>
      </c>
      <c r="H9" s="44">
        <f>'13_RSM_Site_Cali'!C20</f>
        <v/>
      </c>
      <c r="I9" s="28">
        <f>IFERROR(H9/$H$11,0)</f>
        <v/>
      </c>
      <c r="J9" s="44">
        <f>'13_RSM_Site_Cali'!D20</f>
        <v/>
      </c>
      <c r="K9" s="44">
        <f>'13_RSM_Site_Cali'!E20</f>
        <v/>
      </c>
      <c r="L9" s="45">
        <f>IFERROR(J9/K9,0)</f>
        <v/>
      </c>
    </row>
    <row r="10">
      <c r="A10" s="26" t="inlineStr">
        <is>
          <t>Ventas Alternativas</t>
        </is>
      </c>
      <c r="B10" s="27" t="n">
        <v>5649</v>
      </c>
      <c r="C10" s="27" t="n">
        <v>2669</v>
      </c>
      <c r="D10" s="28">
        <f>IF(OR(B10="",C10=""),"",IF(C10=0,"n.a.",B10/C10-1))</f>
        <v/>
      </c>
      <c r="E10" s="38" t="n">
        <v>0.414988373655062</v>
      </c>
      <c r="F10" s="38" t="n">
        <v>0.36956933853474</v>
      </c>
      <c r="G10" s="39">
        <f>IF(OR(E10="",F10=""),"",(E10-F10)*100)</f>
        <v/>
      </c>
      <c r="H10" s="44">
        <f>'14_RSM_Vtas_Alt'!C20</f>
        <v/>
      </c>
      <c r="I10" s="28">
        <f>IFERROR(H10/$H$11,0)</f>
        <v/>
      </c>
      <c r="J10" s="44">
        <f>'14_RSM_Vtas_Alt'!D20</f>
        <v/>
      </c>
      <c r="K10" s="44">
        <f>'14_RSM_Vtas_Alt'!E20</f>
        <v/>
      </c>
      <c r="L10" s="45">
        <f>IFERROR(J10/K10,0)</f>
        <v/>
      </c>
    </row>
    <row r="11">
      <c r="A11" s="33" t="inlineStr">
        <is>
          <t>TOTAL</t>
        </is>
      </c>
      <c r="B11" s="34">
        <f>IF(COUNT(B5:B10)=0,"",SUM(B5:B10))</f>
        <v/>
      </c>
      <c r="C11" s="34">
        <f>IF(COUNT(C5:C10)=0,"",SUM(C5:C10))</f>
        <v/>
      </c>
      <c r="D11" s="35">
        <f>IF(OR(B11="",C11=""),"",IF(C11=0,"n.a.",B11/C11-1))</f>
        <v/>
      </c>
      <c r="E11" s="38" t="n"/>
      <c r="F11" s="38" t="n"/>
      <c r="G11" s="47">
        <f>IF(OR(E11="",F11=""),"",(E11-F11)*100)</f>
        <v/>
      </c>
      <c r="H11" s="34">
        <f>IF(COUNT(H5:H10)=0,"",SUM(H5:H10))</f>
        <v/>
      </c>
      <c r="I11" s="35">
        <f>SUM(I5:I10)</f>
        <v/>
      </c>
      <c r="J11" s="34">
        <f>IF(COUNT(J5:J10)=0,"",SUM(J5:J10))</f>
        <v/>
      </c>
      <c r="K11" s="34">
        <f>IF(COUNT(K5:K10)=0,"",SUM(K5:K10))</f>
        <v/>
      </c>
      <c r="L11" s="48">
        <f>IFERROR(J11/K11,0)</f>
        <v/>
      </c>
    </row>
    <row r="12">
      <c r="A12" s="30" t="inlineStr">
        <is>
          <t>Control: Σ CM canales vs OI IMP mes (hoja 02)</t>
        </is>
      </c>
      <c r="B12" s="49">
        <f>IF(B11="","Pendiente",B11-'02_OI'!B7)</f>
        <v/>
      </c>
    </row>
    <row r="13">
      <c r="A13" s="30" t="inlineStr">
        <is>
          <t>Control: OI YTD RSM vs OI YTD IMP (hoja 02)</t>
        </is>
      </c>
      <c r="C13" t="n">
        <v>114611</v>
      </c>
      <c r="H13" s="49">
        <f>H11-'02_OI'!E7</f>
        <v/>
      </c>
    </row>
    <row r="14">
      <c r="C14" s="50">
        <f>+C13-C11</f>
        <v/>
      </c>
    </row>
  </sheetData>
  <conditionalFormatting sqref="L5:L11">
    <cfRule type="cellIs" priority="2" operator="greaterThanOrEqual" dxfId="3">
      <formula>1</formula>
    </cfRule>
    <cfRule type="cellIs" priority="3" operator="between" dxfId="6">
      <formula>0.7</formula>
      <formula>0.9999</formula>
    </cfRule>
    <cfRule type="cellIs" priority="4" operator="lessThan" dxfId="5">
      <formula>0.7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00EDB6"/>
    <outlinePr summaryBelow="1" summaryRight="1"/>
    <pageSetUpPr/>
  </sheetPr>
  <dimension ref="A1:L75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01" t="inlineStr">
        <is>
          <t>22 · Motor de canales (Industrial · Distribución · Ventas Alternativas) y segmentos (Construcción · Refrigeración)</t>
        </is>
      </c>
    </row>
    <row r="2">
      <c r="A2" s="102" t="inlineStr">
        <is>
          <t>Regla: Ventas Alternativas = valor del canal actual · Industrial + Distribución = total IMP − Alternativas, prorrateado con la participación Industrial/(Industrial+Distribución) del canal actual (o el % manual) · Segmentos = total de los 3 canales × % asignado manualmente.</t>
        </is>
      </c>
    </row>
    <row r="4">
      <c r="A4" s="112" t="inlineStr">
        <is>
          <t>PARÁMETROS</t>
        </is>
      </c>
    </row>
    <row r="5">
      <c r="A5" s="103" t="inlineStr">
        <is>
          <t>% Construcción por defecto (Refrigeración = 1 − Construcción)</t>
        </is>
      </c>
      <c r="B5" s="115" t="n">
        <v>0.7</v>
      </c>
      <c r="C5" s="102" t="inlineStr">
        <is>
          <t>Asigne el % real del mes. Se puede ajustar por métrica en la fila 24.</t>
        </is>
      </c>
    </row>
    <row r="8">
      <c r="A8" s="105" t="inlineStr">
        <is>
          <t>Concepto (m²)</t>
        </is>
      </c>
      <c r="B8" s="105" t="inlineStr">
        <is>
          <t>OI mes CM</t>
        </is>
      </c>
      <c r="C8" s="105" t="inlineStr">
        <is>
          <t>OI mes PY</t>
        </is>
      </c>
      <c r="D8" s="105" t="inlineStr">
        <is>
          <t>OI YTD</t>
        </is>
      </c>
      <c r="E8" s="105" t="inlineStr">
        <is>
          <t>Ventas YTD</t>
        </is>
      </c>
      <c r="F8" s="105" t="inlineStr">
        <is>
          <t>Presupuesto YTD (Junta)</t>
        </is>
      </c>
      <c r="G8" s="105" t="inlineStr">
        <is>
          <t>Backlog CM</t>
        </is>
      </c>
      <c r="H8" s="105" t="inlineStr">
        <is>
          <t>Backlog PY</t>
        </is>
      </c>
      <c r="I8" s="105" t="inlineStr">
        <is>
          <t>OI YTD (RSM)</t>
        </is>
      </c>
      <c r="J8" s="105" t="inlineStr">
        <is>
          <t>Ventas YTD (RSM)</t>
        </is>
      </c>
    </row>
    <row r="9">
      <c r="A9" s="109" t="inlineStr">
        <is>
          <t>Fuente del total</t>
        </is>
      </c>
      <c r="B9" s="116" t="inlineStr">
        <is>
          <t>02_OI B7</t>
        </is>
      </c>
      <c r="C9" s="116" t="inlineStr">
        <is>
          <t>02_OI C7</t>
        </is>
      </c>
      <c r="D9" s="116" t="inlineStr">
        <is>
          <t>02_OI E7</t>
        </is>
      </c>
      <c r="E9" s="116" t="inlineStr">
        <is>
          <t>01_Overview E5</t>
        </is>
      </c>
      <c r="F9" s="116" t="inlineStr">
        <is>
          <t>21_Ppto_Junta N41</t>
        </is>
      </c>
      <c r="G9" s="116" t="inlineStr">
        <is>
          <t>04_Backlog B5</t>
        </is>
      </c>
      <c r="H9" s="116" t="inlineStr">
        <is>
          <t>04_Backlog C5</t>
        </is>
      </c>
      <c r="I9" s="116" t="inlineStr">
        <is>
          <t>RSM C11</t>
        </is>
      </c>
      <c r="J9" s="116" t="inlineStr">
        <is>
          <t>RSM D11</t>
        </is>
      </c>
    </row>
    <row r="10">
      <c r="A10" s="103" t="inlineStr">
        <is>
          <t>Total IMP (m²)</t>
        </is>
      </c>
      <c r="B10" s="117">
        <f>'02_OI'!B7</f>
        <v/>
      </c>
      <c r="C10" s="117">
        <f>'02_OI'!C7</f>
        <v/>
      </c>
      <c r="D10" s="117">
        <f>'02_OI'!E7</f>
        <v/>
      </c>
      <c r="E10" s="117">
        <f>'01_Overview'!E5</f>
        <v/>
      </c>
      <c r="F10" s="117">
        <f>'21_Ppto_Junta'!N41</f>
        <v/>
      </c>
      <c r="G10" s="117">
        <f>'04_Backlog'!B5</f>
        <v/>
      </c>
      <c r="H10" s="117">
        <f>'04_Backlog'!C5</f>
        <v/>
      </c>
      <c r="I10" s="117">
        <f>RSM_Resumen_Canales!C11</f>
        <v/>
      </c>
      <c r="J10" s="117">
        <f>RSM_Resumen_Canales!D11</f>
        <v/>
      </c>
    </row>
    <row r="11">
      <c r="A11" s="109" t="inlineStr">
        <is>
          <t>Ventas Alternativas – canal actual</t>
        </is>
      </c>
      <c r="B11" s="108">
        <f>'03_OI_Canal'!B10</f>
        <v/>
      </c>
      <c r="C11" s="108">
        <f>'03_OI_Canal'!C10</f>
        <v/>
      </c>
      <c r="D11" s="108">
        <f>'03_OI_Canal'!H10</f>
        <v/>
      </c>
      <c r="E11" s="108">
        <f>RSM_Resumen_Canales!D10</f>
        <v/>
      </c>
      <c r="F11" s="108">
        <f>'21_Ppto_Junta'!N40</f>
        <v/>
      </c>
      <c r="G11" s="108">
        <f>'05_Backlog_Canal'!B10</f>
        <v/>
      </c>
      <c r="H11" s="108">
        <f>'05_Backlog_Canal'!C10</f>
        <v/>
      </c>
      <c r="I11" s="108">
        <f>RSM_Resumen_Canales!C10</f>
        <v/>
      </c>
      <c r="J11" s="108">
        <f>RSM_Resumen_Canales!D10</f>
        <v/>
      </c>
    </row>
    <row r="12">
      <c r="A12" s="109" t="inlineStr">
        <is>
          <t>Industrial + Distribución = Total − Alternativas</t>
        </is>
      </c>
      <c r="B12" s="108">
        <f>B10-B11</f>
        <v/>
      </c>
      <c r="C12" s="108">
        <f>C10-C11</f>
        <v/>
      </c>
      <c r="D12" s="108">
        <f>D10-D11</f>
        <v/>
      </c>
      <c r="E12" s="108">
        <f>E10-E11</f>
        <v/>
      </c>
      <c r="F12" s="108">
        <f>F10-F11</f>
        <v/>
      </c>
      <c r="G12" s="108">
        <f>G10-G11</f>
        <v/>
      </c>
      <c r="H12" s="108">
        <f>H10-H11</f>
        <v/>
      </c>
      <c r="I12" s="108">
        <f>I10-I11</f>
        <v/>
      </c>
      <c r="J12" s="108">
        <f>J10-J11</f>
        <v/>
      </c>
    </row>
    <row r="13">
      <c r="A13" s="109" t="inlineStr">
        <is>
          <t>Base prorrateo: Industrial (canal actual)</t>
        </is>
      </c>
      <c r="B13" s="108">
        <f>'03_OI_Canal'!B5</f>
        <v/>
      </c>
      <c r="C13" s="108">
        <f>'03_OI_Canal'!C5</f>
        <v/>
      </c>
      <c r="D13" s="108">
        <f>'03_OI_Canal'!H5</f>
        <v/>
      </c>
      <c r="E13" s="108">
        <f>RSM_Resumen_Canales!D5</f>
        <v/>
      </c>
      <c r="F13" s="108">
        <f>'21_Ppto_Junta'!N35</f>
        <v/>
      </c>
      <c r="G13" s="108">
        <f>'05_Backlog_Canal'!B5</f>
        <v/>
      </c>
      <c r="H13" s="108">
        <f>'05_Backlog_Canal'!C5</f>
        <v/>
      </c>
      <c r="I13" s="108">
        <f>RSM_Resumen_Canales!C5</f>
        <v/>
      </c>
      <c r="J13" s="108">
        <f>RSM_Resumen_Canales!D5</f>
        <v/>
      </c>
    </row>
    <row r="14">
      <c r="A14" s="109" t="inlineStr">
        <is>
          <t>Base prorrateo: Distribución (canal actual)</t>
        </is>
      </c>
      <c r="B14" s="108">
        <f>'03_OI_Canal'!B6</f>
        <v/>
      </c>
      <c r="C14" s="108">
        <f>'03_OI_Canal'!C6</f>
        <v/>
      </c>
      <c r="D14" s="108">
        <f>'03_OI_Canal'!H6</f>
        <v/>
      </c>
      <c r="E14" s="108">
        <f>RSM_Resumen_Canales!D6</f>
        <v/>
      </c>
      <c r="F14" s="108">
        <f>'21_Ppto_Junta'!N36</f>
        <v/>
      </c>
      <c r="G14" s="108">
        <f>'05_Backlog_Canal'!B6</f>
        <v/>
      </c>
      <c r="H14" s="108">
        <f>'05_Backlog_Canal'!C6</f>
        <v/>
      </c>
      <c r="I14" s="108">
        <f>RSM_Resumen_Canales!C6</f>
        <v/>
      </c>
      <c r="J14" s="108">
        <f>RSM_Resumen_Canales!D6</f>
        <v/>
      </c>
    </row>
    <row r="15">
      <c r="A15" s="109" t="inlineStr">
        <is>
          <t>% Industrial – prorrateo automático</t>
        </is>
      </c>
      <c r="B15" s="113">
        <f>IFERROR(B13/(B13+B14),0.5)</f>
        <v/>
      </c>
      <c r="C15" s="113">
        <f>IFERROR(C13/(C13+C14),0.5)</f>
        <v/>
      </c>
      <c r="D15" s="113">
        <f>IFERROR(D13/(D13+D14),0.5)</f>
        <v/>
      </c>
      <c r="E15" s="113">
        <f>IFERROR(E13/(E13+E14),0.5)</f>
        <v/>
      </c>
      <c r="F15" s="113">
        <f>IFERROR(F13/(F13+F14),0.5)</f>
        <v/>
      </c>
      <c r="G15" s="113">
        <f>IFERROR(G13/(G13+G14),0.5)</f>
        <v/>
      </c>
      <c r="H15" s="113">
        <f>IFERROR(H13/(H13+H14),0.5)</f>
        <v/>
      </c>
      <c r="I15" s="113">
        <f>IFERROR(I13/(I13+I14),0.5)</f>
        <v/>
      </c>
      <c r="J15" s="113">
        <f>IFERROR(J13/(J13+J14),0.5)</f>
        <v/>
      </c>
    </row>
    <row r="16">
      <c r="A16" s="109" t="inlineStr">
        <is>
          <t>% Industrial – ajuste manual (opcional)</t>
        </is>
      </c>
      <c r="B16" s="115" t="n"/>
      <c r="C16" s="115" t="n"/>
      <c r="D16" s="115" t="n"/>
      <c r="E16" s="115" t="n"/>
      <c r="F16" s="115" t="n"/>
      <c r="G16" s="115" t="n"/>
      <c r="H16" s="115" t="n"/>
      <c r="I16" s="115" t="n"/>
      <c r="J16" s="115" t="n"/>
    </row>
    <row r="17">
      <c r="A17" s="103" t="inlineStr">
        <is>
          <t>% Industrial aplicado</t>
        </is>
      </c>
      <c r="B17" s="118">
        <f>IF(B16="",B15,B16)</f>
        <v/>
      </c>
      <c r="C17" s="118">
        <f>IF(C16="",C15,C16)</f>
        <v/>
      </c>
      <c r="D17" s="118">
        <f>IF(D16="",D15,D16)</f>
        <v/>
      </c>
      <c r="E17" s="118">
        <f>IF(E16="",E15,E16)</f>
        <v/>
      </c>
      <c r="F17" s="118">
        <f>IF(F16="",F15,F16)</f>
        <v/>
      </c>
      <c r="G17" s="118">
        <f>IF(G16="",G15,G16)</f>
        <v/>
      </c>
      <c r="H17" s="118">
        <f>IF(H16="",H15,H16)</f>
        <v/>
      </c>
      <c r="I17" s="118">
        <f>IF(I16="",I15,I16)</f>
        <v/>
      </c>
      <c r="J17" s="118">
        <f>IF(J16="",J15,J16)</f>
        <v/>
      </c>
    </row>
    <row r="18">
      <c r="A18" s="109" t="inlineStr">
        <is>
          <t>% Distribución aplicado</t>
        </is>
      </c>
      <c r="B18" s="113">
        <f>1-B17</f>
        <v/>
      </c>
      <c r="C18" s="113">
        <f>1-C17</f>
        <v/>
      </c>
      <c r="D18" s="113">
        <f>1-D17</f>
        <v/>
      </c>
      <c r="E18" s="113">
        <f>1-E17</f>
        <v/>
      </c>
      <c r="F18" s="113">
        <f>1-F17</f>
        <v/>
      </c>
      <c r="G18" s="113">
        <f>1-G17</f>
        <v/>
      </c>
      <c r="H18" s="113">
        <f>1-H17</f>
        <v/>
      </c>
      <c r="I18" s="113">
        <f>1-I17</f>
        <v/>
      </c>
      <c r="J18" s="113">
        <f>1-J17</f>
        <v/>
      </c>
    </row>
    <row r="19">
      <c r="A19" s="119" t="inlineStr">
        <is>
          <t>INDUSTRIAL</t>
        </is>
      </c>
      <c r="B19" s="120">
        <f>B12*B17</f>
        <v/>
      </c>
      <c r="C19" s="120">
        <f>C12*C17</f>
        <v/>
      </c>
      <c r="D19" s="120">
        <f>D12*D17</f>
        <v/>
      </c>
      <c r="E19" s="120">
        <f>E12*E17</f>
        <v/>
      </c>
      <c r="F19" s="120">
        <f>F12*F17</f>
        <v/>
      </c>
      <c r="G19" s="120">
        <f>G12*G17</f>
        <v/>
      </c>
      <c r="H19" s="120">
        <f>H12*H17</f>
        <v/>
      </c>
      <c r="I19" s="120">
        <f>I12*I17</f>
        <v/>
      </c>
      <c r="J19" s="120">
        <f>J12*J17</f>
        <v/>
      </c>
    </row>
    <row r="20">
      <c r="A20" s="119" t="inlineStr">
        <is>
          <t>DISTRIBUCIÓN</t>
        </is>
      </c>
      <c r="B20" s="120">
        <f>B12*B18</f>
        <v/>
      </c>
      <c r="C20" s="120">
        <f>C12*C18</f>
        <v/>
      </c>
      <c r="D20" s="120">
        <f>D12*D18</f>
        <v/>
      </c>
      <c r="E20" s="120">
        <f>E12*E18</f>
        <v/>
      </c>
      <c r="F20" s="120">
        <f>F12*F18</f>
        <v/>
      </c>
      <c r="G20" s="120">
        <f>G12*G18</f>
        <v/>
      </c>
      <c r="H20" s="120">
        <f>H12*H18</f>
        <v/>
      </c>
      <c r="I20" s="120">
        <f>I12*I18</f>
        <v/>
      </c>
      <c r="J20" s="120">
        <f>J12*J18</f>
        <v/>
      </c>
    </row>
    <row r="21">
      <c r="A21" s="119" t="inlineStr">
        <is>
          <t>VENTAS ALTERNATIVAS</t>
        </is>
      </c>
      <c r="B21" s="120">
        <f>B11</f>
        <v/>
      </c>
      <c r="C21" s="120">
        <f>C11</f>
        <v/>
      </c>
      <c r="D21" s="120">
        <f>D11</f>
        <v/>
      </c>
      <c r="E21" s="120">
        <f>E11</f>
        <v/>
      </c>
      <c r="F21" s="120">
        <f>F11</f>
        <v/>
      </c>
      <c r="G21" s="120">
        <f>G11</f>
        <v/>
      </c>
      <c r="H21" s="120">
        <f>H11</f>
        <v/>
      </c>
      <c r="I21" s="120">
        <f>I11</f>
        <v/>
      </c>
      <c r="J21" s="120">
        <f>J11</f>
        <v/>
      </c>
    </row>
    <row r="22">
      <c r="A22" s="110" t="inlineStr">
        <is>
          <t>TOTAL CANALES</t>
        </is>
      </c>
      <c r="B22" s="111">
        <f>SUM(B19:B21)</f>
        <v/>
      </c>
      <c r="C22" s="111">
        <f>SUM(C19:C21)</f>
        <v/>
      </c>
      <c r="D22" s="111">
        <f>SUM(D19:D21)</f>
        <v/>
      </c>
      <c r="E22" s="111">
        <f>SUM(E19:E21)</f>
        <v/>
      </c>
      <c r="F22" s="111">
        <f>SUM(F19:F21)</f>
        <v/>
      </c>
      <c r="G22" s="111">
        <f>SUM(G19:G21)</f>
        <v/>
      </c>
      <c r="H22" s="111">
        <f>SUM(H19:H21)</f>
        <v/>
      </c>
      <c r="I22" s="111">
        <f>SUM(I19:I21)</f>
        <v/>
      </c>
      <c r="J22" s="111">
        <f>SUM(J19:J21)</f>
        <v/>
      </c>
    </row>
    <row r="23">
      <c r="A23" s="109" t="inlineStr">
        <is>
          <t>Control vs total IMP (debe ser 0)</t>
        </is>
      </c>
      <c r="B23" s="108">
        <f>ROUND(B22-B10,0)</f>
        <v/>
      </c>
      <c r="C23" s="108">
        <f>ROUND(C22-C10,0)</f>
        <v/>
      </c>
      <c r="D23" s="108">
        <f>ROUND(D22-D10,0)</f>
        <v/>
      </c>
      <c r="E23" s="108">
        <f>ROUND(E22-E10,0)</f>
        <v/>
      </c>
      <c r="F23" s="108">
        <f>ROUND(F22-F10,0)</f>
        <v/>
      </c>
      <c r="G23" s="108">
        <f>ROUND(G22-G10,0)</f>
        <v/>
      </c>
      <c r="H23" s="108">
        <f>ROUND(H22-H10,0)</f>
        <v/>
      </c>
      <c r="I23" s="108">
        <f>ROUND(I22-I10,0)</f>
        <v/>
      </c>
      <c r="J23" s="108">
        <f>ROUND(J22-J10,0)</f>
        <v/>
      </c>
    </row>
    <row r="24">
      <c r="A24" s="109" t="inlineStr">
        <is>
          <t>% Construcción – ajuste manual (opcional)</t>
        </is>
      </c>
      <c r="B24" s="115" t="n"/>
      <c r="C24" s="115" t="n"/>
      <c r="D24" s="115" t="n"/>
      <c r="E24" s="115" t="n"/>
      <c r="F24" s="115" t="n"/>
      <c r="G24" s="115" t="n"/>
      <c r="H24" s="115" t="n"/>
      <c r="I24" s="115" t="n"/>
      <c r="J24" s="115" t="n"/>
    </row>
    <row r="25">
      <c r="A25" s="103" t="inlineStr">
        <is>
          <t>% Construcción aplicado</t>
        </is>
      </c>
      <c r="B25" s="118">
        <f>IF(B24="",$B$5,B24)</f>
        <v/>
      </c>
      <c r="C25" s="118">
        <f>IF(C24="",$B$5,C24)</f>
        <v/>
      </c>
      <c r="D25" s="118">
        <f>IF(D24="",$B$5,D24)</f>
        <v/>
      </c>
      <c r="E25" s="118">
        <f>IF(E24="",$B$5,E24)</f>
        <v/>
      </c>
      <c r="F25" s="118">
        <f>IF(F24="",$B$5,F24)</f>
        <v/>
      </c>
      <c r="G25" s="118">
        <f>IF(G24="",$B$5,G24)</f>
        <v/>
      </c>
      <c r="H25" s="118">
        <f>IF(H24="",$B$5,H24)</f>
        <v/>
      </c>
      <c r="I25" s="118">
        <f>IF(I24="",$B$5,I24)</f>
        <v/>
      </c>
      <c r="J25" s="118">
        <f>IF(J24="",$B$5,J24)</f>
        <v/>
      </c>
    </row>
    <row r="26">
      <c r="A26" s="109" t="inlineStr">
        <is>
          <t>% Refrigeración aplicado</t>
        </is>
      </c>
      <c r="B26" s="113">
        <f>1-B25</f>
        <v/>
      </c>
      <c r="C26" s="113">
        <f>1-C25</f>
        <v/>
      </c>
      <c r="D26" s="113">
        <f>1-D25</f>
        <v/>
      </c>
      <c r="E26" s="113">
        <f>1-E25</f>
        <v/>
      </c>
      <c r="F26" s="113">
        <f>1-F25</f>
        <v/>
      </c>
      <c r="G26" s="113">
        <f>1-G25</f>
        <v/>
      </c>
      <c r="H26" s="113">
        <f>1-H25</f>
        <v/>
      </c>
      <c r="I26" s="113">
        <f>1-I25</f>
        <v/>
      </c>
      <c r="J26" s="113">
        <f>1-J25</f>
        <v/>
      </c>
    </row>
    <row r="27">
      <c r="A27" s="119" t="inlineStr">
        <is>
          <t>CONSTRUCCIÓN</t>
        </is>
      </c>
      <c r="B27" s="120">
        <f>B22*B25</f>
        <v/>
      </c>
      <c r="C27" s="120">
        <f>C22*C25</f>
        <v/>
      </c>
      <c r="D27" s="120">
        <f>D22*D25</f>
        <v/>
      </c>
      <c r="E27" s="120">
        <f>E22*E25</f>
        <v/>
      </c>
      <c r="F27" s="120">
        <f>F22*F25</f>
        <v/>
      </c>
      <c r="G27" s="120">
        <f>G22*G25</f>
        <v/>
      </c>
      <c r="H27" s="120">
        <f>H22*H25</f>
        <v/>
      </c>
      <c r="I27" s="120">
        <f>I22*I25</f>
        <v/>
      </c>
      <c r="J27" s="120">
        <f>J22*J25</f>
        <v/>
      </c>
    </row>
    <row r="28">
      <c r="A28" s="119" t="inlineStr">
        <is>
          <t>REFRIGERACIÓN</t>
        </is>
      </c>
      <c r="B28" s="120">
        <f>B22*B26</f>
        <v/>
      </c>
      <c r="C28" s="120">
        <f>C22*C26</f>
        <v/>
      </c>
      <c r="D28" s="120">
        <f>D22*D26</f>
        <v/>
      </c>
      <c r="E28" s="120">
        <f>E22*E26</f>
        <v/>
      </c>
      <c r="F28" s="120">
        <f>F22*F26</f>
        <v/>
      </c>
      <c r="G28" s="120">
        <f>G22*G26</f>
        <v/>
      </c>
      <c r="H28" s="120">
        <f>H22*H26</f>
        <v/>
      </c>
      <c r="I28" s="120">
        <f>I22*I26</f>
        <v/>
      </c>
      <c r="J28" s="120">
        <f>J22*J26</f>
        <v/>
      </c>
    </row>
    <row r="29">
      <c r="A29" s="110" t="inlineStr">
        <is>
          <t>TOTAL SEGMENTOS</t>
        </is>
      </c>
      <c r="B29" s="111">
        <f>B27+B28</f>
        <v/>
      </c>
      <c r="C29" s="111">
        <f>C27+C28</f>
        <v/>
      </c>
      <c r="D29" s="111">
        <f>D27+D28</f>
        <v/>
      </c>
      <c r="E29" s="111">
        <f>E27+E28</f>
        <v/>
      </c>
      <c r="F29" s="111">
        <f>F27+F28</f>
        <v/>
      </c>
      <c r="G29" s="111">
        <f>G27+G28</f>
        <v/>
      </c>
      <c r="H29" s="111">
        <f>H27+H28</f>
        <v/>
      </c>
      <c r="I29" s="111">
        <f>I27+I28</f>
        <v/>
      </c>
      <c r="J29" s="111">
        <f>J27+J28</f>
        <v/>
      </c>
    </row>
    <row r="31">
      <c r="A31" s="112" t="inlineStr">
        <is>
          <t>MARGEN BRUTO (GM %) POR CANAL NUEVO – ponderado por volumen</t>
        </is>
      </c>
    </row>
    <row r="32">
      <c r="A32" s="105" t="inlineStr">
        <is>
          <t>Canal</t>
        </is>
      </c>
      <c r="B32" s="105" t="inlineStr">
        <is>
          <t>OI GM CM</t>
        </is>
      </c>
      <c r="C32" s="105" t="inlineStr">
        <is>
          <t>OI GM PY</t>
        </is>
      </c>
      <c r="D32" s="105" t="inlineStr">
        <is>
          <t>Backlog GM CM</t>
        </is>
      </c>
      <c r="E32" s="105" t="inlineStr">
        <is>
          <t>Backlog GM PY</t>
        </is>
      </c>
    </row>
    <row r="33">
      <c r="A33" s="103" t="inlineStr">
        <is>
          <t>Industrial</t>
        </is>
      </c>
      <c r="B33" s="113">
        <f>IFERROR(('03_OI_Canal'!B5*'03_OI_Canal'!E5+$B$17*SUMPRODUCT('03_OI_Canal'!B7:B9,'03_OI_Canal'!E7:E9))/('03_OI_Canal'!B5+$B$17*SUM('03_OI_Canal'!B7:B9)),"")</f>
        <v/>
      </c>
      <c r="C33" s="113">
        <f>IFERROR(('03_OI_Canal'!C5*'03_OI_Canal'!F5+$C$17*SUMPRODUCT('03_OI_Canal'!C7:C9,'03_OI_Canal'!F7:F9))/('03_OI_Canal'!C5+$C$17*SUM('03_OI_Canal'!C7:C9)),"")</f>
        <v/>
      </c>
      <c r="D33" s="113">
        <f>IFERROR(('05_Backlog_Canal'!B5*'05_Backlog_Canal'!E5+$G$17*SUMPRODUCT('05_Backlog_Canal'!B7:B9,'05_Backlog_Canal'!E7:E9))/('05_Backlog_Canal'!B5+$G$17*SUM('05_Backlog_Canal'!B7:B9)),"")</f>
        <v/>
      </c>
      <c r="E33" s="113">
        <f>IFERROR(('05_Backlog_Canal'!C5*'05_Backlog_Canal'!F5+$H$17*SUMPRODUCT('05_Backlog_Canal'!C7:C9,'05_Backlog_Canal'!F7:F9))/('05_Backlog_Canal'!C5+$H$17*SUM('05_Backlog_Canal'!C7:C9)),"")</f>
        <v/>
      </c>
    </row>
    <row r="34">
      <c r="A34" s="103" t="inlineStr">
        <is>
          <t>Distribución</t>
        </is>
      </c>
      <c r="B34" s="113">
        <f>IFERROR(('03_OI_Canal'!B6*'03_OI_Canal'!E6+(1-$B$17)*SUMPRODUCT('03_OI_Canal'!B7:B9,'03_OI_Canal'!E7:E9))/('03_OI_Canal'!B6+(1-$B$17)*SUM('03_OI_Canal'!B7:B9)),"")</f>
        <v/>
      </c>
      <c r="C34" s="113">
        <f>IFERROR(('03_OI_Canal'!C6*'03_OI_Canal'!F6+(1-$C$17)*SUMPRODUCT('03_OI_Canal'!C7:C9,'03_OI_Canal'!F7:F9))/('03_OI_Canal'!C6+(1-$C$17)*SUM('03_OI_Canal'!C7:C9)),"")</f>
        <v/>
      </c>
      <c r="D34" s="113">
        <f>IFERROR(('05_Backlog_Canal'!B6*'05_Backlog_Canal'!E6+(1-$G$17)*SUMPRODUCT('05_Backlog_Canal'!B7:B9,'05_Backlog_Canal'!E7:E9))/('05_Backlog_Canal'!B6+(1-$G$17)*SUM('05_Backlog_Canal'!B7:B9)),"")</f>
        <v/>
      </c>
      <c r="E34" s="113">
        <f>IFERROR(('05_Backlog_Canal'!C6*'05_Backlog_Canal'!F6+(1-$H$17)*SUMPRODUCT('05_Backlog_Canal'!C7:C9,'05_Backlog_Canal'!F7:F9))/('05_Backlog_Canal'!C6+(1-$H$17)*SUM('05_Backlog_Canal'!C7:C9)),"")</f>
        <v/>
      </c>
    </row>
    <row r="35">
      <c r="A35" s="103" t="inlineStr">
        <is>
          <t>Ventas Alternativas</t>
        </is>
      </c>
      <c r="B35" s="113">
        <f>IFERROR('03_OI_Canal'!E10,"")</f>
        <v/>
      </c>
      <c r="C35" s="113">
        <f>IFERROR('03_OI_Canal'!F10,"")</f>
        <v/>
      </c>
      <c r="D35" s="113">
        <f>IFERROR('05_Backlog_Canal'!E10,"")</f>
        <v/>
      </c>
      <c r="E35" s="113">
        <f>IFERROR('05_Backlog_Canal'!F10,"")</f>
        <v/>
      </c>
    </row>
    <row r="36">
      <c r="A36" s="103" t="inlineStr">
        <is>
          <t>TOTAL (ponderado)</t>
        </is>
      </c>
      <c r="B36" s="121">
        <f>IFERROR(SUMPRODUCT('03_OI_Canal'!B5:B10,'03_OI_Canal'!E5:E10)/SUM('03_OI_Canal'!B5:B10),"")</f>
        <v/>
      </c>
      <c r="C36" s="121">
        <f>IFERROR(SUMPRODUCT('03_OI_Canal'!C5:C10,'03_OI_Canal'!F5:F10)/SUM('03_OI_Canal'!C5:C10),"")</f>
        <v/>
      </c>
      <c r="D36" s="121">
        <f>IFERROR(SUMPRODUCT('05_Backlog_Canal'!B5:B10,'05_Backlog_Canal'!E5:E10)/SUM('05_Backlog_Canal'!B5:B10),"")</f>
        <v/>
      </c>
      <c r="E36" s="121">
        <f>IFERROR(SUMPRODUCT('05_Backlog_Canal'!C5:C10,'05_Backlog_Canal'!F5:F10)/SUM('05_Backlog_Canal'!C5:C10),"")</f>
        <v/>
      </c>
    </row>
    <row r="37">
      <c r="A37" s="103" t="inlineStr">
        <is>
          <t>Construcción (input opcional)</t>
        </is>
      </c>
      <c r="B37" s="115" t="n"/>
      <c r="C37" s="115" t="n"/>
      <c r="D37" s="115" t="n"/>
      <c r="E37" s="115" t="n"/>
    </row>
    <row r="38">
      <c r="A38" s="103" t="inlineStr">
        <is>
          <t>Refrigeración (input opcional)</t>
        </is>
      </c>
      <c r="B38" s="115" t="n"/>
      <c r="C38" s="115" t="n"/>
      <c r="D38" s="115" t="n"/>
      <c r="E38" s="115" t="n"/>
    </row>
    <row r="39">
      <c r="A39" s="102" t="inlineStr">
        <is>
          <t>Si el GM por segmento queda en blanco, el slide muestra '—'.</t>
        </is>
      </c>
    </row>
    <row r="41">
      <c r="A41" s="112" t="inlineStr">
        <is>
          <t>TABLA SLIDE · ORDER INTAKE BY CHANNEL – IMP</t>
        </is>
      </c>
    </row>
    <row r="42">
      <c r="A42" s="105" t="inlineStr">
        <is>
          <t>Canal</t>
        </is>
      </c>
      <c r="B42" s="105" t="inlineStr">
        <is>
          <t>OI CM</t>
        </is>
      </c>
      <c r="C42" s="105" t="inlineStr">
        <is>
          <t>OI PY</t>
        </is>
      </c>
      <c r="D42" s="105" t="inlineStr">
        <is>
          <t>YoY</t>
        </is>
      </c>
      <c r="E42" s="105" t="inlineStr">
        <is>
          <t>GM CM</t>
        </is>
      </c>
      <c r="F42" s="105" t="inlineStr">
        <is>
          <t>GM PY</t>
        </is>
      </c>
      <c r="G42" s="105" t="inlineStr">
        <is>
          <t>Var GM (pp)</t>
        </is>
      </c>
      <c r="H42" s="105" t="inlineStr">
        <is>
          <t>OI YTD</t>
        </is>
      </c>
      <c r="I42" s="105" t="inlineStr">
        <is>
          <t>Mix YTD</t>
        </is>
      </c>
      <c r="J42" s="105" t="inlineStr">
        <is>
          <t>Ventas YTD</t>
        </is>
      </c>
      <c r="K42" s="105" t="inlineStr">
        <is>
          <t>Budget YTD</t>
        </is>
      </c>
      <c r="L42" s="105" t="inlineStr">
        <is>
          <t>% Budget</t>
        </is>
      </c>
    </row>
    <row r="43">
      <c r="A43" s="103" t="inlineStr">
        <is>
          <t>Industrial</t>
        </is>
      </c>
      <c r="B43" s="108">
        <f>B19</f>
        <v/>
      </c>
      <c r="C43" s="108">
        <f>C19</f>
        <v/>
      </c>
      <c r="D43" s="113">
        <f>IF(OR(B43="",C43=""),"",IF(C43=0,"n.a.",B43/C43-1))</f>
        <v/>
      </c>
      <c r="E43" s="113">
        <f>B33</f>
        <v/>
      </c>
      <c r="F43" s="113">
        <f>C33</f>
        <v/>
      </c>
      <c r="G43" s="122">
        <f>IF(OR(E43="",F43=""),"",(E43-F43)*100)</f>
        <v/>
      </c>
      <c r="H43" s="108">
        <f>D19</f>
        <v/>
      </c>
      <c r="I43" s="123">
        <f>IFERROR(H43/$H$46,0)</f>
        <v/>
      </c>
      <c r="J43" s="108">
        <f>E19</f>
        <v/>
      </c>
      <c r="K43" s="108">
        <f>F19</f>
        <v/>
      </c>
      <c r="L43" s="123">
        <f>IFERROR(J43/K43,0)</f>
        <v/>
      </c>
    </row>
    <row r="44">
      <c r="A44" s="103" t="inlineStr">
        <is>
          <t>Distribución</t>
        </is>
      </c>
      <c r="B44" s="108">
        <f>B20</f>
        <v/>
      </c>
      <c r="C44" s="108">
        <f>C20</f>
        <v/>
      </c>
      <c r="D44" s="113">
        <f>IF(OR(B44="",C44=""),"",IF(C44=0,"n.a.",B44/C44-1))</f>
        <v/>
      </c>
      <c r="E44" s="113">
        <f>B34</f>
        <v/>
      </c>
      <c r="F44" s="113">
        <f>C34</f>
        <v/>
      </c>
      <c r="G44" s="122">
        <f>IF(OR(E44="",F44=""),"",(E44-F44)*100)</f>
        <v/>
      </c>
      <c r="H44" s="108">
        <f>D20</f>
        <v/>
      </c>
      <c r="I44" s="123">
        <f>IFERROR(H44/$H$46,0)</f>
        <v/>
      </c>
      <c r="J44" s="108">
        <f>E20</f>
        <v/>
      </c>
      <c r="K44" s="108">
        <f>F20</f>
        <v/>
      </c>
      <c r="L44" s="123">
        <f>IFERROR(J44/K44,0)</f>
        <v/>
      </c>
    </row>
    <row r="45">
      <c r="A45" s="103" t="inlineStr">
        <is>
          <t>Ventas Alternativas</t>
        </is>
      </c>
      <c r="B45" s="108">
        <f>B21</f>
        <v/>
      </c>
      <c r="C45" s="108">
        <f>C21</f>
        <v/>
      </c>
      <c r="D45" s="113">
        <f>IF(OR(B45="",C45=""),"",IF(C45=0,"n.a.",B45/C45-1))</f>
        <v/>
      </c>
      <c r="E45" s="113">
        <f>B35</f>
        <v/>
      </c>
      <c r="F45" s="113">
        <f>C35</f>
        <v/>
      </c>
      <c r="G45" s="122">
        <f>IF(OR(E45="",F45=""),"",(E45-F45)*100)</f>
        <v/>
      </c>
      <c r="H45" s="108">
        <f>D21</f>
        <v/>
      </c>
      <c r="I45" s="123">
        <f>IFERROR(H45/$H$46,0)</f>
        <v/>
      </c>
      <c r="J45" s="108">
        <f>E21</f>
        <v/>
      </c>
      <c r="K45" s="108">
        <f>F21</f>
        <v/>
      </c>
      <c r="L45" s="123">
        <f>IFERROR(J45/K45,0)</f>
        <v/>
      </c>
    </row>
    <row r="46">
      <c r="A46" s="110" t="inlineStr">
        <is>
          <t>TOTAL</t>
        </is>
      </c>
      <c r="B46" s="111">
        <f>B22</f>
        <v/>
      </c>
      <c r="C46" s="111">
        <f>C22</f>
        <v/>
      </c>
      <c r="D46" s="121">
        <f>IF(OR(B46="",C46=""),"",IF(C46=0,"n.a.",B46/C46-1))</f>
        <v/>
      </c>
      <c r="E46" s="121">
        <f>B36</f>
        <v/>
      </c>
      <c r="F46" s="121">
        <f>C36</f>
        <v/>
      </c>
      <c r="G46" s="124">
        <f>IF(OR(E46="",F46=""),"",(E46-F46)*100)</f>
        <v/>
      </c>
      <c r="H46" s="111">
        <f>D22</f>
        <v/>
      </c>
      <c r="I46" s="125">
        <f>IFERROR(H46/$H$46,0)</f>
        <v/>
      </c>
      <c r="J46" s="111">
        <f>E22</f>
        <v/>
      </c>
      <c r="K46" s="111">
        <f>F22</f>
        <v/>
      </c>
      <c r="L46" s="125">
        <f>IFERROR(J46/K46,0)</f>
        <v/>
      </c>
    </row>
    <row r="48">
      <c r="A48" s="105" t="inlineStr">
        <is>
          <t>Segmento</t>
        </is>
      </c>
      <c r="B48" s="105" t="inlineStr">
        <is>
          <t>OI CM</t>
        </is>
      </c>
      <c r="C48" s="105" t="inlineStr">
        <is>
          <t>OI PY</t>
        </is>
      </c>
      <c r="D48" s="105" t="inlineStr">
        <is>
          <t>YoY</t>
        </is>
      </c>
      <c r="E48" s="105" t="inlineStr">
        <is>
          <t>GM CM</t>
        </is>
      </c>
      <c r="F48" s="105" t="inlineStr">
        <is>
          <t>GM PY</t>
        </is>
      </c>
      <c r="G48" s="105" t="inlineStr">
        <is>
          <t>Var GM (pp)</t>
        </is>
      </c>
      <c r="H48" s="105" t="inlineStr">
        <is>
          <t>OI YTD</t>
        </is>
      </c>
      <c r="I48" s="105" t="inlineStr">
        <is>
          <t>Mix YTD</t>
        </is>
      </c>
      <c r="J48" s="105" t="inlineStr">
        <is>
          <t>Ventas YTD</t>
        </is>
      </c>
      <c r="K48" s="105" t="inlineStr">
        <is>
          <t>Budget YTD</t>
        </is>
      </c>
      <c r="L48" s="105" t="inlineStr">
        <is>
          <t>% Budget</t>
        </is>
      </c>
    </row>
    <row r="49">
      <c r="A49" s="103" t="inlineStr">
        <is>
          <t>Construcción</t>
        </is>
      </c>
      <c r="B49" s="108">
        <f>B27</f>
        <v/>
      </c>
      <c r="C49" s="108">
        <f>C27</f>
        <v/>
      </c>
      <c r="D49" s="113">
        <f>IF(OR(B49="",C49=""),"",IF(C49=0,"n.a.",B49/C49-1))</f>
        <v/>
      </c>
      <c r="E49" s="113">
        <f>IF(B37="","",B37)</f>
        <v/>
      </c>
      <c r="F49" s="113">
        <f>IF(C37="","",C37)</f>
        <v/>
      </c>
      <c r="G49" s="122">
        <f>IF(OR(E49="",F49=""),"",(E49-F49)*100)</f>
        <v/>
      </c>
      <c r="H49" s="108">
        <f>D27</f>
        <v/>
      </c>
      <c r="I49" s="123">
        <f>IFERROR(H49/$H$51,0)</f>
        <v/>
      </c>
      <c r="J49" s="108">
        <f>E27</f>
        <v/>
      </c>
      <c r="K49" s="108">
        <f>F27</f>
        <v/>
      </c>
      <c r="L49" s="123">
        <f>IFERROR(J49/K49,0)</f>
        <v/>
      </c>
    </row>
    <row r="50">
      <c r="A50" s="103" t="inlineStr">
        <is>
          <t>Refrigeración</t>
        </is>
      </c>
      <c r="B50" s="108">
        <f>B28</f>
        <v/>
      </c>
      <c r="C50" s="108">
        <f>C28</f>
        <v/>
      </c>
      <c r="D50" s="113">
        <f>IF(OR(B50="",C50=""),"",IF(C50=0,"n.a.",B50/C50-1))</f>
        <v/>
      </c>
      <c r="E50" s="113">
        <f>IF(B38="","",B38)</f>
        <v/>
      </c>
      <c r="F50" s="113">
        <f>IF(C38="","",C38)</f>
        <v/>
      </c>
      <c r="G50" s="122">
        <f>IF(OR(E50="",F50=""),"",(E50-F50)*100)</f>
        <v/>
      </c>
      <c r="H50" s="108">
        <f>D28</f>
        <v/>
      </c>
      <c r="I50" s="123">
        <f>IFERROR(H50/$H$51,0)</f>
        <v/>
      </c>
      <c r="J50" s="108">
        <f>E28</f>
        <v/>
      </c>
      <c r="K50" s="108">
        <f>F28</f>
        <v/>
      </c>
      <c r="L50" s="123">
        <f>IFERROR(J50/K50,0)</f>
        <v/>
      </c>
    </row>
    <row r="51">
      <c r="A51" s="110" t="inlineStr">
        <is>
          <t>TOTAL</t>
        </is>
      </c>
      <c r="B51" s="111">
        <f>B29</f>
        <v/>
      </c>
      <c r="C51" s="111">
        <f>C29</f>
        <v/>
      </c>
      <c r="D51" s="121">
        <f>IF(OR(B51="",C51=""),"",IF(C51=0,"n.a.",B51/C51-1))</f>
        <v/>
      </c>
      <c r="E51" s="121">
        <f>IF(B36="","",B36)</f>
        <v/>
      </c>
      <c r="F51" s="121">
        <f>IF(C36="","",C36)</f>
        <v/>
      </c>
      <c r="G51" s="124">
        <f>IF(OR(E51="",F51=""),"",(E51-F51)*100)</f>
        <v/>
      </c>
      <c r="H51" s="111">
        <f>D29</f>
        <v/>
      </c>
      <c r="I51" s="125">
        <f>IFERROR(H51/$H$51,0)</f>
        <v/>
      </c>
      <c r="J51" s="111">
        <f>E29</f>
        <v/>
      </c>
      <c r="K51" s="111">
        <f>F29</f>
        <v/>
      </c>
      <c r="L51" s="125">
        <f>IFERROR(J51/K51,0)</f>
        <v/>
      </c>
    </row>
    <row r="53">
      <c r="A53" s="112" t="inlineStr">
        <is>
          <t>TABLA SLIDE · BACKLOG BY CHANNEL – IMP</t>
        </is>
      </c>
    </row>
    <row r="54">
      <c r="A54" s="105" t="inlineStr">
        <is>
          <t>Canal</t>
        </is>
      </c>
      <c r="B54" s="105" t="inlineStr">
        <is>
          <t>Backlog CM</t>
        </is>
      </c>
      <c r="C54" s="105" t="inlineStr">
        <is>
          <t>Backlog PY</t>
        </is>
      </c>
      <c r="D54" s="105" t="inlineStr">
        <is>
          <t>YoY</t>
        </is>
      </c>
      <c r="E54" s="105" t="inlineStr">
        <is>
          <t>GM CM</t>
        </is>
      </c>
      <c r="F54" s="105" t="inlineStr">
        <is>
          <t>GM PY</t>
        </is>
      </c>
      <c r="G54" s="105" t="inlineStr">
        <is>
          <t>Δ GM (pp)</t>
        </is>
      </c>
      <c r="H54" s="105" t="inlineStr">
        <is>
          <t>Mix %</t>
        </is>
      </c>
    </row>
    <row r="55">
      <c r="A55" s="103" t="inlineStr">
        <is>
          <t>Industrial</t>
        </is>
      </c>
      <c r="B55" s="108">
        <f>G19</f>
        <v/>
      </c>
      <c r="C55" s="108">
        <f>H19</f>
        <v/>
      </c>
      <c r="D55" s="113">
        <f>IF(OR(B55="",C55=""),"",IF(C55=0,"n.a.",B55/C55-1))</f>
        <v/>
      </c>
      <c r="E55" s="113">
        <f>D33</f>
        <v/>
      </c>
      <c r="F55" s="113">
        <f>E33</f>
        <v/>
      </c>
      <c r="G55" s="122">
        <f>IF(OR(E55="",F55=""),"",(E55-F55)*100)</f>
        <v/>
      </c>
      <c r="H55" s="123">
        <f>IFERROR(B55/$B$58,0)</f>
        <v/>
      </c>
    </row>
    <row r="56">
      <c r="A56" s="103" t="inlineStr">
        <is>
          <t>Distribución</t>
        </is>
      </c>
      <c r="B56" s="108">
        <f>G20</f>
        <v/>
      </c>
      <c r="C56" s="108">
        <f>H20</f>
        <v/>
      </c>
      <c r="D56" s="113">
        <f>IF(OR(B56="",C56=""),"",IF(C56=0,"n.a.",B56/C56-1))</f>
        <v/>
      </c>
      <c r="E56" s="113">
        <f>D34</f>
        <v/>
      </c>
      <c r="F56" s="113">
        <f>E34</f>
        <v/>
      </c>
      <c r="G56" s="122">
        <f>IF(OR(E56="",F56=""),"",(E56-F56)*100)</f>
        <v/>
      </c>
      <c r="H56" s="123">
        <f>IFERROR(B56/$B$58,0)</f>
        <v/>
      </c>
    </row>
    <row r="57">
      <c r="A57" s="103" t="inlineStr">
        <is>
          <t>Ventas Alternativas</t>
        </is>
      </c>
      <c r="B57" s="108">
        <f>G21</f>
        <v/>
      </c>
      <c r="C57" s="108">
        <f>H21</f>
        <v/>
      </c>
      <c r="D57" s="113">
        <f>IF(OR(B57="",C57=""),"",IF(C57=0,"n.a.",B57/C57-1))</f>
        <v/>
      </c>
      <c r="E57" s="113">
        <f>D35</f>
        <v/>
      </c>
      <c r="F57" s="113">
        <f>E35</f>
        <v/>
      </c>
      <c r="G57" s="122">
        <f>IF(OR(E57="",F57=""),"",(E57-F57)*100)</f>
        <v/>
      </c>
      <c r="H57" s="123">
        <f>IFERROR(B57/$B$58,0)</f>
        <v/>
      </c>
    </row>
    <row r="58">
      <c r="A58" s="110" t="inlineStr">
        <is>
          <t>TOTAL</t>
        </is>
      </c>
      <c r="B58" s="111">
        <f>G22</f>
        <v/>
      </c>
      <c r="C58" s="111">
        <f>H22</f>
        <v/>
      </c>
      <c r="D58" s="121">
        <f>IF(OR(B58="",C58=""),"",IF(C58=0,"n.a.",B58/C58-1))</f>
        <v/>
      </c>
      <c r="E58" s="121">
        <f>D36</f>
        <v/>
      </c>
      <c r="F58" s="121">
        <f>E36</f>
        <v/>
      </c>
      <c r="G58" s="124">
        <f>IF(OR(E58="",F58=""),"",(E58-F58)*100)</f>
        <v/>
      </c>
      <c r="H58" s="125">
        <f>IFERROR(B58/$B$58,0)</f>
        <v/>
      </c>
    </row>
    <row r="60">
      <c r="A60" s="105" t="inlineStr">
        <is>
          <t>Segmento</t>
        </is>
      </c>
      <c r="B60" s="105" t="inlineStr">
        <is>
          <t>Backlog CM</t>
        </is>
      </c>
      <c r="C60" s="105" t="inlineStr">
        <is>
          <t>Backlog PY</t>
        </is>
      </c>
      <c r="D60" s="105" t="inlineStr">
        <is>
          <t>YoY</t>
        </is>
      </c>
      <c r="E60" s="105" t="inlineStr">
        <is>
          <t>GM CM</t>
        </is>
      </c>
      <c r="F60" s="105" t="inlineStr">
        <is>
          <t>GM PY</t>
        </is>
      </c>
      <c r="G60" s="105" t="inlineStr">
        <is>
          <t>Δ GM (pp)</t>
        </is>
      </c>
      <c r="H60" s="105" t="inlineStr">
        <is>
          <t>Mix %</t>
        </is>
      </c>
    </row>
    <row r="61">
      <c r="A61" s="103" t="inlineStr">
        <is>
          <t>Construcción</t>
        </is>
      </c>
      <c r="B61" s="108">
        <f>G27</f>
        <v/>
      </c>
      <c r="C61" s="108">
        <f>H27</f>
        <v/>
      </c>
      <c r="D61" s="113">
        <f>IF(OR(B61="",C61=""),"",IF(C61=0,"n.a.",B61/C61-1))</f>
        <v/>
      </c>
      <c r="E61" s="113">
        <f>IF(D37="","",D37)</f>
        <v/>
      </c>
      <c r="F61" s="113">
        <f>IF(E37="","",E37)</f>
        <v/>
      </c>
      <c r="G61" s="122">
        <f>IF(OR(E61="",F61=""),"",(E61-F61)*100)</f>
        <v/>
      </c>
      <c r="H61" s="123">
        <f>IFERROR(B61/$B$63,0)</f>
        <v/>
      </c>
    </row>
    <row r="62">
      <c r="A62" s="103" t="inlineStr">
        <is>
          <t>Refrigeración</t>
        </is>
      </c>
      <c r="B62" s="108">
        <f>G28</f>
        <v/>
      </c>
      <c r="C62" s="108">
        <f>H28</f>
        <v/>
      </c>
      <c r="D62" s="113">
        <f>IF(OR(B62="",C62=""),"",IF(C62=0,"n.a.",B62/C62-1))</f>
        <v/>
      </c>
      <c r="E62" s="113">
        <f>IF(D38="","",D38)</f>
        <v/>
      </c>
      <c r="F62" s="113">
        <f>IF(E38="","",E38)</f>
        <v/>
      </c>
      <c r="G62" s="122">
        <f>IF(OR(E62="",F62=""),"",(E62-F62)*100)</f>
        <v/>
      </c>
      <c r="H62" s="123">
        <f>IFERROR(B62/$B$63,0)</f>
        <v/>
      </c>
    </row>
    <row r="63">
      <c r="A63" s="110" t="inlineStr">
        <is>
          <t>TOTAL</t>
        </is>
      </c>
      <c r="B63" s="111">
        <f>G29</f>
        <v/>
      </c>
      <c r="C63" s="111">
        <f>H29</f>
        <v/>
      </c>
      <c r="D63" s="121">
        <f>IF(OR(B63="",C63=""),"",IF(C63=0,"n.a.",B63/C63-1))</f>
        <v/>
      </c>
      <c r="E63" s="121">
        <f>D36</f>
        <v/>
      </c>
      <c r="F63" s="121">
        <f>E36</f>
        <v/>
      </c>
      <c r="G63" s="124">
        <f>IF(OR(E63="",F63=""),"",(E63-F63)*100)</f>
        <v/>
      </c>
      <c r="H63" s="125">
        <f>IFERROR(B63/$B$63,0)</f>
        <v/>
      </c>
    </row>
    <row r="65">
      <c r="A65" s="112" t="inlineStr">
        <is>
          <t>TABLA SLIDE · RSM PERFORMANCE – CANALES Y SEGMENTOS (YTD, resumen)</t>
        </is>
      </c>
    </row>
    <row r="66">
      <c r="A66" s="105" t="inlineStr">
        <is>
          <t>Canal</t>
        </is>
      </c>
      <c r="B66" s="105" t="inlineStr">
        <is>
          <t>OI YTD</t>
        </is>
      </c>
      <c r="C66" s="105" t="inlineStr">
        <is>
          <t>Ventas YTD</t>
        </is>
      </c>
      <c r="D66" s="105" t="inlineStr">
        <is>
          <t>Budget YTD (Junta)</t>
        </is>
      </c>
      <c r="E66" s="105" t="inlineStr">
        <is>
          <t>Brecha</t>
        </is>
      </c>
      <c r="F66" s="105" t="inlineStr">
        <is>
          <t>% Budget</t>
        </is>
      </c>
      <c r="G66" s="105" t="inlineStr">
        <is>
          <t>Backlog</t>
        </is>
      </c>
      <c r="H66" s="105" t="inlineStr">
        <is>
          <t>Margen backlog</t>
        </is>
      </c>
      <c r="I66" s="105" t="inlineStr">
        <is>
          <t>Mix backlog</t>
        </is>
      </c>
    </row>
    <row r="67">
      <c r="A67" s="103" t="inlineStr">
        <is>
          <t>Industrial</t>
        </is>
      </c>
      <c r="B67" s="108">
        <f>I19</f>
        <v/>
      </c>
      <c r="C67" s="108">
        <f>J19</f>
        <v/>
      </c>
      <c r="D67" s="108">
        <f>F19</f>
        <v/>
      </c>
      <c r="E67" s="108">
        <f>C67-D67</f>
        <v/>
      </c>
      <c r="F67" s="123">
        <f>IFERROR(C67/D67,0)</f>
        <v/>
      </c>
      <c r="G67" s="108">
        <f>G19</f>
        <v/>
      </c>
      <c r="H67" s="113">
        <f>D33</f>
        <v/>
      </c>
      <c r="I67" s="123">
        <f>IFERROR(G67/$G$70,0)</f>
        <v/>
      </c>
    </row>
    <row r="68">
      <c r="A68" s="103" t="inlineStr">
        <is>
          <t>Distribución</t>
        </is>
      </c>
      <c r="B68" s="108">
        <f>I20</f>
        <v/>
      </c>
      <c r="C68" s="108">
        <f>J20</f>
        <v/>
      </c>
      <c r="D68" s="108">
        <f>F20</f>
        <v/>
      </c>
      <c r="E68" s="108">
        <f>C68-D68</f>
        <v/>
      </c>
      <c r="F68" s="123">
        <f>IFERROR(C68/D68,0)</f>
        <v/>
      </c>
      <c r="G68" s="108">
        <f>G20</f>
        <v/>
      </c>
      <c r="H68" s="113">
        <f>D34</f>
        <v/>
      </c>
      <c r="I68" s="123">
        <f>IFERROR(G68/$G$70,0)</f>
        <v/>
      </c>
    </row>
    <row r="69">
      <c r="A69" s="103" t="inlineStr">
        <is>
          <t>Ventas Alternativas</t>
        </is>
      </c>
      <c r="B69" s="108">
        <f>I21</f>
        <v/>
      </c>
      <c r="C69" s="108">
        <f>J21</f>
        <v/>
      </c>
      <c r="D69" s="108">
        <f>F21</f>
        <v/>
      </c>
      <c r="E69" s="108">
        <f>C69-D69</f>
        <v/>
      </c>
      <c r="F69" s="123">
        <f>IFERROR(C69/D69,0)</f>
        <v/>
      </c>
      <c r="G69" s="108">
        <f>G21</f>
        <v/>
      </c>
      <c r="H69" s="113">
        <f>D35</f>
        <v/>
      </c>
      <c r="I69" s="123">
        <f>IFERROR(G69/$G$70,0)</f>
        <v/>
      </c>
    </row>
    <row r="70">
      <c r="A70" s="110" t="inlineStr">
        <is>
          <t>TOTAL</t>
        </is>
      </c>
      <c r="B70" s="111">
        <f>I22</f>
        <v/>
      </c>
      <c r="C70" s="111">
        <f>J22</f>
        <v/>
      </c>
      <c r="D70" s="111">
        <f>F22</f>
        <v/>
      </c>
      <c r="E70" s="111">
        <f>C70-D70</f>
        <v/>
      </c>
      <c r="F70" s="125">
        <f>IFERROR(C70/D70,0)</f>
        <v/>
      </c>
      <c r="G70" s="111">
        <f>G22</f>
        <v/>
      </c>
      <c r="H70" s="121">
        <f>D36</f>
        <v/>
      </c>
      <c r="I70" s="125">
        <f>IFERROR(G70/$G$70,0)</f>
        <v/>
      </c>
    </row>
    <row r="72">
      <c r="A72" s="105" t="inlineStr">
        <is>
          <t>Segmento</t>
        </is>
      </c>
      <c r="B72" s="105" t="inlineStr">
        <is>
          <t>OI YTD</t>
        </is>
      </c>
      <c r="C72" s="105" t="inlineStr">
        <is>
          <t>Ventas YTD</t>
        </is>
      </c>
      <c r="D72" s="105" t="inlineStr">
        <is>
          <t>Budget YTD (Junta)</t>
        </is>
      </c>
      <c r="E72" s="105" t="inlineStr">
        <is>
          <t>Brecha</t>
        </is>
      </c>
      <c r="F72" s="105" t="inlineStr">
        <is>
          <t>% Budget</t>
        </is>
      </c>
      <c r="G72" s="105" t="inlineStr">
        <is>
          <t>Backlog</t>
        </is>
      </c>
      <c r="H72" s="105" t="inlineStr">
        <is>
          <t>Margen backlog</t>
        </is>
      </c>
      <c r="I72" s="105" t="inlineStr">
        <is>
          <t>Mix backlog</t>
        </is>
      </c>
    </row>
    <row r="73">
      <c r="A73" s="103" t="inlineStr">
        <is>
          <t>Construcción</t>
        </is>
      </c>
      <c r="B73" s="108">
        <f>I27</f>
        <v/>
      </c>
      <c r="C73" s="108">
        <f>J27</f>
        <v/>
      </c>
      <c r="D73" s="108">
        <f>F27</f>
        <v/>
      </c>
      <c r="E73" s="108">
        <f>C73-D73</f>
        <v/>
      </c>
      <c r="F73" s="123">
        <f>IFERROR(C73/D73,0)</f>
        <v/>
      </c>
      <c r="G73" s="108">
        <f>G27</f>
        <v/>
      </c>
      <c r="H73" s="113">
        <f>IF(D37="","",D37)</f>
        <v/>
      </c>
      <c r="I73" s="123">
        <f>IFERROR(G73/$G$75,0)</f>
        <v/>
      </c>
    </row>
    <row r="74">
      <c r="A74" s="103" t="inlineStr">
        <is>
          <t>Refrigeración</t>
        </is>
      </c>
      <c r="B74" s="108">
        <f>I28</f>
        <v/>
      </c>
      <c r="C74" s="108">
        <f>J28</f>
        <v/>
      </c>
      <c r="D74" s="108">
        <f>F28</f>
        <v/>
      </c>
      <c r="E74" s="108">
        <f>C74-D74</f>
        <v/>
      </c>
      <c r="F74" s="123">
        <f>IFERROR(C74/D74,0)</f>
        <v/>
      </c>
      <c r="G74" s="108">
        <f>G28</f>
        <v/>
      </c>
      <c r="H74" s="113">
        <f>IF(D38="","",D38)</f>
        <v/>
      </c>
      <c r="I74" s="123">
        <f>IFERROR(G74/$G$75,0)</f>
        <v/>
      </c>
    </row>
    <row r="75">
      <c r="A75" s="110" t="inlineStr">
        <is>
          <t>TOTAL</t>
        </is>
      </c>
      <c r="B75" s="111">
        <f>I29</f>
        <v/>
      </c>
      <c r="C75" s="111">
        <f>J29</f>
        <v/>
      </c>
      <c r="D75" s="111">
        <f>F29</f>
        <v/>
      </c>
      <c r="E75" s="111">
        <f>C75-D75</f>
        <v/>
      </c>
      <c r="F75" s="125">
        <f>IFERROR(C75/D75,0)</f>
        <v/>
      </c>
      <c r="G75" s="111">
        <f>G29</f>
        <v/>
      </c>
      <c r="H75" s="121">
        <f>D36</f>
        <v/>
      </c>
      <c r="I75" s="125">
        <f>IFERROR(G75/$G$75,0)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00EDB6"/>
    <outlinePr summaryBelow="1" summaryRight="1"/>
    <pageSetUpPr/>
  </sheetPr>
  <dimension ref="A1:O50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3" customWidth="1" min="14" max="14"/>
    <col width="12" customWidth="1" min="15" max="15"/>
  </cols>
  <sheetData>
    <row r="1">
      <c r="A1" s="101" t="inlineStr">
        <is>
          <t>21 · Presupuesto de Junta, metas y ventas reales (IMP, m²)</t>
        </is>
      </c>
    </row>
    <row r="2">
      <c r="A2" s="102" t="inlineStr">
        <is>
          <t>Amarillo = input. Actualice el presupuesto mensual, los % por canal y las ventas reales; todo lo demás (YTD, asignación por canal y por segmento) es fórmula.</t>
        </is>
      </c>
    </row>
    <row r="4">
      <c r="A4" s="103" t="inlineStr">
        <is>
          <t>Mes de corte (de 02_OI B4)</t>
        </is>
      </c>
      <c r="B4" s="103">
        <f>'02_OI'!B4</f>
        <v/>
      </c>
    </row>
    <row r="5">
      <c r="A5" s="103" t="inlineStr">
        <is>
          <t>Base de participación por canal</t>
        </is>
      </c>
      <c r="B5" s="104" t="inlineStr">
        <is>
          <t>Anterior</t>
        </is>
      </c>
      <c r="C5" s="102" t="inlineStr">
        <is>
          <t>Anterior = % de cada canal en el presupuesto previo (RSM). Junta = % mensuales del archivo de Junta (filas 17–21).</t>
        </is>
      </c>
    </row>
    <row r="7">
      <c r="A7" s="105" t="inlineStr">
        <is>
          <t>Concepto</t>
        </is>
      </c>
      <c r="B7" s="105" t="inlineStr">
        <is>
          <t>Ene</t>
        </is>
      </c>
      <c r="C7" s="105" t="inlineStr">
        <is>
          <t>Feb</t>
        </is>
      </c>
      <c r="D7" s="105" t="inlineStr">
        <is>
          <t>Mar</t>
        </is>
      </c>
      <c r="E7" s="105" t="inlineStr">
        <is>
          <t>Abr</t>
        </is>
      </c>
      <c r="F7" s="105" t="inlineStr">
        <is>
          <t>May</t>
        </is>
      </c>
      <c r="G7" s="105" t="inlineStr">
        <is>
          <t>Jun</t>
        </is>
      </c>
      <c r="H7" s="105" t="inlineStr">
        <is>
          <t>Jul</t>
        </is>
      </c>
      <c r="I7" s="105" t="inlineStr">
        <is>
          <t>Ago</t>
        </is>
      </c>
      <c r="J7" s="105" t="inlineStr">
        <is>
          <t>Sep</t>
        </is>
      </c>
      <c r="K7" s="105" t="inlineStr">
        <is>
          <t>Oct</t>
        </is>
      </c>
      <c r="L7" s="105" t="inlineStr">
        <is>
          <t>Nov</t>
        </is>
      </c>
      <c r="M7" s="105" t="inlineStr">
        <is>
          <t>Dic</t>
        </is>
      </c>
      <c r="N7" s="105" t="inlineStr">
        <is>
          <t>YTD (≤ corte)</t>
        </is>
      </c>
      <c r="O7" s="105" t="inlineStr">
        <is>
          <t>Total año</t>
        </is>
      </c>
    </row>
    <row r="8">
      <c r="A8" s="103" t="inlineStr">
        <is>
          <t>N° mes</t>
        </is>
      </c>
      <c r="B8" s="126" t="n">
        <v>1</v>
      </c>
      <c r="C8" s="126" t="n">
        <v>2</v>
      </c>
      <c r="D8" s="126" t="n">
        <v>3</v>
      </c>
      <c r="E8" s="126" t="n">
        <v>4</v>
      </c>
      <c r="F8" s="126" t="n">
        <v>5</v>
      </c>
      <c r="G8" s="126" t="n">
        <v>6</v>
      </c>
      <c r="H8" s="126" t="n">
        <v>7</v>
      </c>
      <c r="I8" s="126" t="n">
        <v>8</v>
      </c>
      <c r="J8" s="126" t="n">
        <v>9</v>
      </c>
      <c r="K8" s="126" t="n">
        <v>10</v>
      </c>
      <c r="L8" s="126" t="n">
        <v>11</v>
      </c>
      <c r="M8" s="126" t="n">
        <v>12</v>
      </c>
    </row>
    <row r="9">
      <c r="A9" s="103" t="inlineStr">
        <is>
          <t>Presupuesto Junta IMP (m²)</t>
        </is>
      </c>
      <c r="B9" s="106" t="n">
        <v>104628</v>
      </c>
      <c r="C9" s="106" t="n">
        <v>96362.69259677708</v>
      </c>
      <c r="D9" s="106" t="n">
        <v>115099.076379654</v>
      </c>
      <c r="E9" s="106" t="n">
        <v>98564.60221773022</v>
      </c>
      <c r="F9" s="106" t="n">
        <v>106108.7700758626</v>
      </c>
      <c r="G9" s="106" t="n">
        <v>121966.0494973719</v>
      </c>
      <c r="H9" s="106" t="n">
        <v>115931.3705606149</v>
      </c>
      <c r="I9" s="106" t="n">
        <v>143000</v>
      </c>
      <c r="J9" s="106" t="n">
        <v>125010</v>
      </c>
      <c r="K9" s="106" t="n">
        <v>123189</v>
      </c>
      <c r="L9" s="106" t="n">
        <v>132443</v>
      </c>
      <c r="M9" s="106" t="n">
        <v>90000</v>
      </c>
      <c r="N9" s="111">
        <f>SUMIFS(B9:M9,$B$8:$M$8,"&lt;="&amp;$B$4)</f>
        <v/>
      </c>
      <c r="O9" s="111">
        <f>SUM(B9:M9)</f>
        <v/>
      </c>
    </row>
    <row r="10">
      <c r="A10" s="103" t="inlineStr">
        <is>
          <t>Ventas reales IMP (m²) – mensual</t>
        </is>
      </c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>
        <v>125933</v>
      </c>
      <c r="K10" s="106" t="n">
        <v>141231</v>
      </c>
      <c r="L10" s="106" t="n"/>
      <c r="M10" s="106" t="n"/>
      <c r="N10" s="108">
        <f>SUMIFS(B10:M10,$B$8:$M$8,"&lt;="&amp;$B$4)</f>
        <v/>
      </c>
      <c r="O10" s="108">
        <f>SUM(B10:M10)</f>
        <v/>
      </c>
    </row>
    <row r="11">
      <c r="A11" s="109" t="inlineStr">
        <is>
          <t>% cumplimiento mes</t>
        </is>
      </c>
      <c r="B11" s="113">
        <f>IF(OR(B10="",B9=0),"",B10/B9)</f>
        <v/>
      </c>
      <c r="C11" s="113">
        <f>IF(OR(C10="",C9=0),"",C10/C9)</f>
        <v/>
      </c>
      <c r="D11" s="113">
        <f>IF(OR(D10="",D9=0),"",D10/D9)</f>
        <v/>
      </c>
      <c r="E11" s="113">
        <f>IF(OR(E10="",E9=0),"",E10/E9)</f>
        <v/>
      </c>
      <c r="F11" s="113">
        <f>IF(OR(F10="",F9=0),"",F10/F9)</f>
        <v/>
      </c>
      <c r="G11" s="113">
        <f>IF(OR(G10="",G9=0),"",G10/G9)</f>
        <v/>
      </c>
      <c r="H11" s="113">
        <f>IF(OR(H10="",H9=0),"",H10/H9)</f>
        <v/>
      </c>
      <c r="I11" s="113">
        <f>IF(OR(I10="",I9=0),"",I10/I9)</f>
        <v/>
      </c>
      <c r="J11" s="113">
        <f>IF(OR(J10="",J9=0),"",J10/J9)</f>
        <v/>
      </c>
      <c r="K11" s="113">
        <f>IF(OR(K10="",K9=0),"",K10/K9)</f>
        <v/>
      </c>
      <c r="L11" s="113">
        <f>IF(OR(L10="",L9=0),"",L10/L9)</f>
        <v/>
      </c>
      <c r="M11" s="113">
        <f>IF(OR(M10="",M9=0),"",M10/M9)</f>
        <v/>
      </c>
    </row>
    <row r="12">
      <c r="A12" s="103" t="inlineStr">
        <is>
          <t>Ventas YTD reales – cifra oficial (01_Overview E5)</t>
        </is>
      </c>
      <c r="B12" s="102" t="inlineStr">
        <is>
          <t>Si diligencia todos los meses de la fila 10, N10 debe igualar N12.</t>
        </is>
      </c>
      <c r="N12" s="111">
        <f>'01_Overview'!E5</f>
        <v/>
      </c>
    </row>
    <row r="13">
      <c r="A13" s="103" t="inlineStr">
        <is>
          <t>% cumplimiento YTD vs Presupuesto Junta</t>
        </is>
      </c>
      <c r="N13" s="121">
        <f>IFERROR(N12/N9,0)</f>
        <v/>
      </c>
    </row>
    <row r="15">
      <c r="A15" s="105" t="inlineStr">
        <is>
          <t>% participación – Presupuesto Junta</t>
        </is>
      </c>
      <c r="B15" s="105" t="inlineStr">
        <is>
          <t>Ene</t>
        </is>
      </c>
      <c r="C15" s="105" t="inlineStr">
        <is>
          <t>Feb</t>
        </is>
      </c>
      <c r="D15" s="105" t="inlineStr">
        <is>
          <t>Mar</t>
        </is>
      </c>
      <c r="E15" s="105" t="inlineStr">
        <is>
          <t>Abr</t>
        </is>
      </c>
      <c r="F15" s="105" t="inlineStr">
        <is>
          <t>May</t>
        </is>
      </c>
      <c r="G15" s="105" t="inlineStr">
        <is>
          <t>Jun</t>
        </is>
      </c>
      <c r="H15" s="105" t="inlineStr">
        <is>
          <t>Jul</t>
        </is>
      </c>
      <c r="I15" s="105" t="inlineStr">
        <is>
          <t>Ago</t>
        </is>
      </c>
      <c r="J15" s="105" t="inlineStr">
        <is>
          <t>Sep</t>
        </is>
      </c>
      <c r="K15" s="105" t="inlineStr">
        <is>
          <t>Oct</t>
        </is>
      </c>
      <c r="L15" s="105" t="inlineStr">
        <is>
          <t>Nov</t>
        </is>
      </c>
      <c r="M15" s="105" t="inlineStr">
        <is>
          <t>Dic</t>
        </is>
      </c>
      <c r="N15" s="105" t="inlineStr">
        <is>
          <t>YTD ponderado</t>
        </is>
      </c>
      <c r="O15" s="105" t="inlineStr">
        <is>
          <t>Año</t>
        </is>
      </c>
    </row>
    <row r="16">
      <c r="A16" s="102" t="inlineStr">
        <is>
          <t>(los meses deben sumar 100%; ver control fila 22)</t>
        </is>
      </c>
    </row>
    <row r="17">
      <c r="A17" s="103" t="inlineStr">
        <is>
          <t>Distribución</t>
        </is>
      </c>
      <c r="B17" s="115" t="n">
        <v>0.1979</v>
      </c>
      <c r="C17" s="115" t="n">
        <v>0.1913</v>
      </c>
      <c r="D17" s="115" t="n">
        <v>0.1937</v>
      </c>
      <c r="E17" s="115" t="n">
        <v>0.2055</v>
      </c>
      <c r="F17" s="115" t="n">
        <v>0.206</v>
      </c>
      <c r="G17" s="115" t="n">
        <v>0.2059</v>
      </c>
      <c r="H17" s="115" t="n">
        <v>0.2054</v>
      </c>
      <c r="I17" s="115" t="n">
        <v>0.2054</v>
      </c>
      <c r="J17" s="115" t="n">
        <v>0.1976</v>
      </c>
      <c r="K17" s="115" t="n">
        <v>0.1976</v>
      </c>
      <c r="L17" s="115" t="n">
        <v>0.2054</v>
      </c>
      <c r="M17" s="115" t="n">
        <v>0.2231</v>
      </c>
      <c r="N17" s="113">
        <f>IFERROR(SUMPRODUCT(B17:M17,$B$9:$M$9,--($B$8:$M$8&lt;=$B$4))/$N$9,0)</f>
        <v/>
      </c>
      <c r="O17" s="113">
        <f>IFERROR(SUMPRODUCT(B17:M17,$B$9:$M$9)/$O$9,0)</f>
        <v/>
      </c>
    </row>
    <row r="18">
      <c r="A18" s="103" t="inlineStr">
        <is>
          <t>Industrial</t>
        </is>
      </c>
      <c r="B18" s="115" t="n">
        <v>0.4055</v>
      </c>
      <c r="C18" s="115" t="n">
        <v>0.392</v>
      </c>
      <c r="D18" s="115" t="n">
        <v>0.3903</v>
      </c>
      <c r="E18" s="115" t="n">
        <v>0.3658</v>
      </c>
      <c r="F18" s="115" t="n">
        <v>0.3417</v>
      </c>
      <c r="G18" s="115" t="n">
        <v>0.3415</v>
      </c>
      <c r="H18" s="115" t="n">
        <v>0.3407</v>
      </c>
      <c r="I18" s="115" t="n">
        <v>0.3407</v>
      </c>
      <c r="J18" s="115" t="n">
        <v>0.3276</v>
      </c>
      <c r="K18" s="115" t="n">
        <v>0.3683</v>
      </c>
      <c r="L18" s="115" t="n">
        <v>0.384</v>
      </c>
      <c r="M18" s="115" t="n">
        <v>0.416</v>
      </c>
      <c r="N18" s="113">
        <f>IFERROR(SUMPRODUCT(B18:M18,$B$9:$M$9,--($B$8:$M$8&lt;=$B$4))/$N$9,0)</f>
        <v/>
      </c>
      <c r="O18" s="113">
        <f>IFERROR(SUMPRODUCT(B18:M18,$B$9:$M$9)/$O$9,0)</f>
        <v/>
      </c>
    </row>
    <row r="19">
      <c r="A19" s="103" t="inlineStr">
        <is>
          <t>Otras Geografías</t>
        </is>
      </c>
      <c r="B19" s="115" t="n">
        <v>0.2648</v>
      </c>
      <c r="C19" s="115" t="n">
        <v>0.2987</v>
      </c>
      <c r="D19" s="115" t="n">
        <v>0.3059</v>
      </c>
      <c r="E19" s="115" t="n">
        <v>0.3185</v>
      </c>
      <c r="F19" s="115" t="n">
        <v>0.3193</v>
      </c>
      <c r="G19" s="115" t="n">
        <v>0.3166</v>
      </c>
      <c r="H19" s="115" t="n">
        <v>0.3183</v>
      </c>
      <c r="I19" s="115" t="n">
        <v>0.3183</v>
      </c>
      <c r="J19" s="115" t="n">
        <v>0.3444</v>
      </c>
      <c r="K19" s="115" t="n">
        <v>0.3444</v>
      </c>
      <c r="L19" s="115" t="n">
        <v>0.3183</v>
      </c>
      <c r="M19" s="115" t="n">
        <v>0.2596</v>
      </c>
      <c r="N19" s="113">
        <f>IFERROR(SUMPRODUCT(B19:M19,$B$9:$M$9,--($B$8:$M$8&lt;=$B$4))/$N$9,0)</f>
        <v/>
      </c>
      <c r="O19" s="113">
        <f>IFERROR(SUMPRODUCT(B19:M19,$B$9:$M$9)/$O$9,0)</f>
        <v/>
      </c>
    </row>
    <row r="20">
      <c r="A20" s="103" t="inlineStr">
        <is>
          <t>SITES (Site Cali)</t>
        </is>
      </c>
      <c r="B20" s="115" t="n">
        <v>0.081</v>
      </c>
      <c r="C20" s="115" t="n">
        <v>0.07829999999999999</v>
      </c>
      <c r="D20" s="115" t="n">
        <v>0.078</v>
      </c>
      <c r="E20" s="115" t="n">
        <v>0.0731</v>
      </c>
      <c r="F20" s="115" t="n">
        <v>0.0979</v>
      </c>
      <c r="G20" s="115" t="n">
        <v>0.1008</v>
      </c>
      <c r="H20" s="115" t="n">
        <v>0.1006</v>
      </c>
      <c r="I20" s="115" t="n">
        <v>0.1006</v>
      </c>
      <c r="J20" s="115" t="n">
        <v>0.09669999999999999</v>
      </c>
      <c r="K20" s="115" t="n">
        <v>0.056</v>
      </c>
      <c r="L20" s="115" t="n">
        <v>0.0572</v>
      </c>
      <c r="M20" s="115" t="n">
        <v>0.06320000000000001</v>
      </c>
      <c r="N20" s="113">
        <f>IFERROR(SUMPRODUCT(B20:M20,$B$9:$M$9,--($B$8:$M$8&lt;=$B$4))/$N$9,0)</f>
        <v/>
      </c>
      <c r="O20" s="113">
        <f>IFERROR(SUMPRODUCT(B20:M20,$B$9:$M$9)/$O$9,0)</f>
        <v/>
      </c>
    </row>
    <row r="21">
      <c r="A21" s="103" t="inlineStr">
        <is>
          <t>Ventas Alternativas</t>
        </is>
      </c>
      <c r="B21" s="115" t="n">
        <v>0.0508</v>
      </c>
      <c r="C21" s="115" t="n">
        <v>0.0398</v>
      </c>
      <c r="D21" s="115" t="n">
        <v>0.0321</v>
      </c>
      <c r="E21" s="115" t="n">
        <v>0.0371</v>
      </c>
      <c r="F21" s="115" t="n">
        <v>0.0351</v>
      </c>
      <c r="G21" s="115" t="n">
        <v>0.0351</v>
      </c>
      <c r="H21" s="115" t="n">
        <v>0.035</v>
      </c>
      <c r="I21" s="115" t="n">
        <v>0.035</v>
      </c>
      <c r="J21" s="115" t="n">
        <v>0.0337</v>
      </c>
      <c r="K21" s="115" t="n">
        <v>0.0337</v>
      </c>
      <c r="L21" s="115" t="n">
        <v>0.035</v>
      </c>
      <c r="M21" s="115" t="n">
        <v>0.0381</v>
      </c>
      <c r="N21" s="113">
        <f>IFERROR(SUMPRODUCT(B21:M21,$B$9:$M$9,--($B$8:$M$8&lt;=$B$4))/$N$9,0)</f>
        <v/>
      </c>
      <c r="O21" s="113">
        <f>IFERROR(SUMPRODUCT(B21:M21,$B$9:$M$9)/$O$9,0)</f>
        <v/>
      </c>
    </row>
    <row r="22">
      <c r="A22" s="103" t="inlineStr">
        <is>
          <t>Control Σ %</t>
        </is>
      </c>
      <c r="B22" s="113">
        <f>SUM(B17:B21)</f>
        <v/>
      </c>
      <c r="C22" s="113">
        <f>SUM(C17:C21)</f>
        <v/>
      </c>
      <c r="D22" s="113">
        <f>SUM(D17:D21)</f>
        <v/>
      </c>
      <c r="E22" s="113">
        <f>SUM(E17:E21)</f>
        <v/>
      </c>
      <c r="F22" s="113">
        <f>SUM(F17:F21)</f>
        <v/>
      </c>
      <c r="G22" s="113">
        <f>SUM(G17:G21)</f>
        <v/>
      </c>
      <c r="H22" s="113">
        <f>SUM(H17:H21)</f>
        <v/>
      </c>
      <c r="I22" s="113">
        <f>SUM(I17:I21)</f>
        <v/>
      </c>
      <c r="J22" s="113">
        <f>SUM(J17:J21)</f>
        <v/>
      </c>
      <c r="K22" s="113">
        <f>SUM(K17:K21)</f>
        <v/>
      </c>
      <c r="L22" s="113">
        <f>SUM(L17:L21)</f>
        <v/>
      </c>
      <c r="M22" s="113">
        <f>SUM(M17:M21)</f>
        <v/>
      </c>
      <c r="N22" s="113">
        <f>SUM(N17:N21)</f>
        <v/>
      </c>
      <c r="O22" s="113">
        <f>SUM(O17:O21)</f>
        <v/>
      </c>
    </row>
    <row r="24">
      <c r="A24" s="105" t="inlineStr">
        <is>
          <t>Canal (estructura anterior)</t>
        </is>
      </c>
      <c r="B24" s="105" t="inlineStr">
        <is>
          <t>Budget anterior YTD (RSM)</t>
        </is>
      </c>
      <c r="C24" s="105" t="inlineStr">
        <is>
          <t>% part. anterior</t>
        </is>
      </c>
      <c r="D24" s="105" t="inlineStr">
        <is>
          <t>% part. Junta YTD</t>
        </is>
      </c>
      <c r="E24" s="105" t="inlineStr">
        <is>
          <t>% part. aplicada</t>
        </is>
      </c>
    </row>
    <row r="25">
      <c r="A25" s="103" t="inlineStr">
        <is>
          <t>Industrial</t>
        </is>
      </c>
      <c r="B25" s="108">
        <f>RSM_Resumen_Canales!E5</f>
        <v/>
      </c>
      <c r="C25" s="113">
        <f>IFERROR(B25/$B$31,0)</f>
        <v/>
      </c>
      <c r="D25" s="113">
        <f>N18</f>
        <v/>
      </c>
      <c r="E25" s="118">
        <f>IF($B$5="Junta",D25,C25)</f>
        <v/>
      </c>
    </row>
    <row r="26">
      <c r="A26" s="103" t="inlineStr">
        <is>
          <t>Distribution</t>
        </is>
      </c>
      <c r="B26" s="108">
        <f>RSM_Resumen_Canales!E6</f>
        <v/>
      </c>
      <c r="C26" s="113">
        <f>IFERROR(B26/$B$31,0)</f>
        <v/>
      </c>
      <c r="D26" s="113">
        <f>N17</f>
        <v/>
      </c>
      <c r="E26" s="118">
        <f>IF($B$5="Junta",D26,C26)</f>
        <v/>
      </c>
    </row>
    <row r="27">
      <c r="A27" s="103" t="inlineStr">
        <is>
          <t>Other Geographies</t>
        </is>
      </c>
      <c r="B27" s="108">
        <f>RSM_Resumen_Canales!E7</f>
        <v/>
      </c>
      <c r="C27" s="113">
        <f>IFERROR(B27/$B$31,0)</f>
        <v/>
      </c>
      <c r="D27" s="113">
        <f>N19</f>
        <v/>
      </c>
      <c r="E27" s="118">
        <f>IF($B$5="Junta",D27,C27)</f>
        <v/>
      </c>
    </row>
    <row r="28">
      <c r="A28" s="103" t="inlineStr">
        <is>
          <t>Cold Storage</t>
        </is>
      </c>
      <c r="B28" s="108">
        <f>RSM_Resumen_Canales!E8</f>
        <v/>
      </c>
      <c r="C28" s="113">
        <f>IFERROR(B28/$B$31,0)</f>
        <v/>
      </c>
      <c r="D28" s="113" t="n">
        <v>0</v>
      </c>
      <c r="E28" s="118">
        <f>IF($B$5="Junta",D28,C28)</f>
        <v/>
      </c>
    </row>
    <row r="29">
      <c r="A29" s="103" t="inlineStr">
        <is>
          <t>Site Cali</t>
        </is>
      </c>
      <c r="B29" s="108">
        <f>RSM_Resumen_Canales!E9</f>
        <v/>
      </c>
      <c r="C29" s="113">
        <f>IFERROR(B29/$B$31,0)</f>
        <v/>
      </c>
      <c r="D29" s="113">
        <f>N20</f>
        <v/>
      </c>
      <c r="E29" s="118">
        <f>IF($B$5="Junta",D29,C29)</f>
        <v/>
      </c>
    </row>
    <row r="30">
      <c r="A30" s="103" t="inlineStr">
        <is>
          <t>Alternative Sales</t>
        </is>
      </c>
      <c r="B30" s="108">
        <f>RSM_Resumen_Canales!E10</f>
        <v/>
      </c>
      <c r="C30" s="113">
        <f>IFERROR(B30/$B$31,0)</f>
        <v/>
      </c>
      <c r="D30" s="113">
        <f>N21</f>
        <v/>
      </c>
      <c r="E30" s="118">
        <f>IF($B$5="Junta",D30,C30)</f>
        <v/>
      </c>
    </row>
    <row r="31">
      <c r="A31" s="110" t="inlineStr">
        <is>
          <t>TOTAL</t>
        </is>
      </c>
      <c r="B31" s="111">
        <f>SUM(B25:B30)</f>
        <v/>
      </c>
      <c r="C31" s="121">
        <f>SUM(C25:C30)</f>
        <v/>
      </c>
      <c r="D31" s="121">
        <f>SUM(D25:D30)</f>
        <v/>
      </c>
      <c r="E31" s="121">
        <f>SUM(E25:E30)</f>
        <v/>
      </c>
    </row>
    <row r="33">
      <c r="A33" s="105" t="inlineStr">
        <is>
          <t>Presupuesto Junta por canal anterior (m²)</t>
        </is>
      </c>
      <c r="B33" s="105" t="inlineStr">
        <is>
          <t>Ene</t>
        </is>
      </c>
      <c r="C33" s="105" t="inlineStr">
        <is>
          <t>Feb</t>
        </is>
      </c>
      <c r="D33" s="105" t="inlineStr">
        <is>
          <t>Mar</t>
        </is>
      </c>
      <c r="E33" s="105" t="inlineStr">
        <is>
          <t>Abr</t>
        </is>
      </c>
      <c r="F33" s="105" t="inlineStr">
        <is>
          <t>May</t>
        </is>
      </c>
      <c r="G33" s="105" t="inlineStr">
        <is>
          <t>Jun</t>
        </is>
      </c>
      <c r="H33" s="105" t="inlineStr">
        <is>
          <t>Jul</t>
        </is>
      </c>
      <c r="I33" s="105" t="inlineStr">
        <is>
          <t>Ago</t>
        </is>
      </c>
      <c r="J33" s="105" t="inlineStr">
        <is>
          <t>Sep</t>
        </is>
      </c>
      <c r="K33" s="105" t="inlineStr">
        <is>
          <t>Oct</t>
        </is>
      </c>
      <c r="L33" s="105" t="inlineStr">
        <is>
          <t>Nov</t>
        </is>
      </c>
      <c r="M33" s="105" t="inlineStr">
        <is>
          <t>Dic</t>
        </is>
      </c>
      <c r="N33" s="105" t="inlineStr">
        <is>
          <t>YTD (≤ corte)</t>
        </is>
      </c>
      <c r="O33" s="105" t="inlineStr">
        <is>
          <t>Total año</t>
        </is>
      </c>
    </row>
    <row r="34">
      <c r="A34" s="102" t="inlineStr">
        <is>
          <t>(base = selector B5)</t>
        </is>
      </c>
    </row>
    <row r="35">
      <c r="A35" s="103" t="inlineStr">
        <is>
          <t>Industrial</t>
        </is>
      </c>
      <c r="B35" s="108">
        <f>IF($B$5="Junta",B$9*B18,B$9*$C25)</f>
        <v/>
      </c>
      <c r="C35" s="108">
        <f>IF($B$5="Junta",C$9*C18,C$9*$C25)</f>
        <v/>
      </c>
      <c r="D35" s="108">
        <f>IF($B$5="Junta",D$9*D18,D$9*$C25)</f>
        <v/>
      </c>
      <c r="E35" s="108">
        <f>IF($B$5="Junta",E$9*E18,E$9*$C25)</f>
        <v/>
      </c>
      <c r="F35" s="108">
        <f>IF($B$5="Junta",F$9*F18,F$9*$C25)</f>
        <v/>
      </c>
      <c r="G35" s="108">
        <f>IF($B$5="Junta",G$9*G18,G$9*$C25)</f>
        <v/>
      </c>
      <c r="H35" s="108">
        <f>IF($B$5="Junta",H$9*H18,H$9*$C25)</f>
        <v/>
      </c>
      <c r="I35" s="108">
        <f>IF($B$5="Junta",I$9*I18,I$9*$C25)</f>
        <v/>
      </c>
      <c r="J35" s="108">
        <f>IF($B$5="Junta",J$9*J18,J$9*$C25)</f>
        <v/>
      </c>
      <c r="K35" s="108">
        <f>IF($B$5="Junta",K$9*K18,K$9*$C25)</f>
        <v/>
      </c>
      <c r="L35" s="108">
        <f>IF($B$5="Junta",L$9*L18,L$9*$C25)</f>
        <v/>
      </c>
      <c r="M35" s="108">
        <f>IF($B$5="Junta",M$9*M18,M$9*$C25)</f>
        <v/>
      </c>
      <c r="N35" s="117">
        <f>SUMIFS(B35:M35,$B$8:$M$8,"&lt;="&amp;$B$4)</f>
        <v/>
      </c>
      <c r="O35" s="108">
        <f>SUM(B35:M35)</f>
        <v/>
      </c>
    </row>
    <row r="36">
      <c r="A36" s="103" t="inlineStr">
        <is>
          <t>Distribution</t>
        </is>
      </c>
      <c r="B36" s="108">
        <f>IF($B$5="Junta",B$9*B17,B$9*$C26)</f>
        <v/>
      </c>
      <c r="C36" s="108">
        <f>IF($B$5="Junta",C$9*C17,C$9*$C26)</f>
        <v/>
      </c>
      <c r="D36" s="108">
        <f>IF($B$5="Junta",D$9*D17,D$9*$C26)</f>
        <v/>
      </c>
      <c r="E36" s="108">
        <f>IF($B$5="Junta",E$9*E17,E$9*$C26)</f>
        <v/>
      </c>
      <c r="F36" s="108">
        <f>IF($B$5="Junta",F$9*F17,F$9*$C26)</f>
        <v/>
      </c>
      <c r="G36" s="108">
        <f>IF($B$5="Junta",G$9*G17,G$9*$C26)</f>
        <v/>
      </c>
      <c r="H36" s="108">
        <f>IF($B$5="Junta",H$9*H17,H$9*$C26)</f>
        <v/>
      </c>
      <c r="I36" s="108">
        <f>IF($B$5="Junta",I$9*I17,I$9*$C26)</f>
        <v/>
      </c>
      <c r="J36" s="108">
        <f>IF($B$5="Junta",J$9*J17,J$9*$C26)</f>
        <v/>
      </c>
      <c r="K36" s="108">
        <f>IF($B$5="Junta",K$9*K17,K$9*$C26)</f>
        <v/>
      </c>
      <c r="L36" s="108">
        <f>IF($B$5="Junta",L$9*L17,L$9*$C26)</f>
        <v/>
      </c>
      <c r="M36" s="108">
        <f>IF($B$5="Junta",M$9*M17,M$9*$C26)</f>
        <v/>
      </c>
      <c r="N36" s="117">
        <f>SUMIFS(B36:M36,$B$8:$M$8,"&lt;="&amp;$B$4)</f>
        <v/>
      </c>
      <c r="O36" s="108">
        <f>SUM(B36:M36)</f>
        <v/>
      </c>
    </row>
    <row r="37">
      <c r="A37" s="103" t="inlineStr">
        <is>
          <t>Other Geographies</t>
        </is>
      </c>
      <c r="B37" s="108">
        <f>IF($B$5="Junta",B$9*B19,B$9*$C27)</f>
        <v/>
      </c>
      <c r="C37" s="108">
        <f>IF($B$5="Junta",C$9*C19,C$9*$C27)</f>
        <v/>
      </c>
      <c r="D37" s="108">
        <f>IF($B$5="Junta",D$9*D19,D$9*$C27)</f>
        <v/>
      </c>
      <c r="E37" s="108">
        <f>IF($B$5="Junta",E$9*E19,E$9*$C27)</f>
        <v/>
      </c>
      <c r="F37" s="108">
        <f>IF($B$5="Junta",F$9*F19,F$9*$C27)</f>
        <v/>
      </c>
      <c r="G37" s="108">
        <f>IF($B$5="Junta",G$9*G19,G$9*$C27)</f>
        <v/>
      </c>
      <c r="H37" s="108">
        <f>IF($B$5="Junta",H$9*H19,H$9*$C27)</f>
        <v/>
      </c>
      <c r="I37" s="108">
        <f>IF($B$5="Junta",I$9*I19,I$9*$C27)</f>
        <v/>
      </c>
      <c r="J37" s="108">
        <f>IF($B$5="Junta",J$9*J19,J$9*$C27)</f>
        <v/>
      </c>
      <c r="K37" s="108">
        <f>IF($B$5="Junta",K$9*K19,K$9*$C27)</f>
        <v/>
      </c>
      <c r="L37" s="108">
        <f>IF($B$5="Junta",L$9*L19,L$9*$C27)</f>
        <v/>
      </c>
      <c r="M37" s="108">
        <f>IF($B$5="Junta",M$9*M19,M$9*$C27)</f>
        <v/>
      </c>
      <c r="N37" s="117">
        <f>SUMIFS(B37:M37,$B$8:$M$8,"&lt;="&amp;$B$4)</f>
        <v/>
      </c>
      <c r="O37" s="108">
        <f>SUM(B37:M37)</f>
        <v/>
      </c>
    </row>
    <row r="38">
      <c r="A38" s="103" t="inlineStr">
        <is>
          <t>Cold Storage</t>
        </is>
      </c>
      <c r="B38" s="108">
        <f>IF($B$5="Junta",0,B$9*$C28)</f>
        <v/>
      </c>
      <c r="C38" s="108">
        <f>IF($B$5="Junta",0,C$9*$C28)</f>
        <v/>
      </c>
      <c r="D38" s="108">
        <f>IF($B$5="Junta",0,D$9*$C28)</f>
        <v/>
      </c>
      <c r="E38" s="108">
        <f>IF($B$5="Junta",0,E$9*$C28)</f>
        <v/>
      </c>
      <c r="F38" s="108">
        <f>IF($B$5="Junta",0,F$9*$C28)</f>
        <v/>
      </c>
      <c r="G38" s="108">
        <f>IF($B$5="Junta",0,G$9*$C28)</f>
        <v/>
      </c>
      <c r="H38" s="108">
        <f>IF($B$5="Junta",0,H$9*$C28)</f>
        <v/>
      </c>
      <c r="I38" s="108">
        <f>IF($B$5="Junta",0,I$9*$C28)</f>
        <v/>
      </c>
      <c r="J38" s="108">
        <f>IF($B$5="Junta",0,J$9*$C28)</f>
        <v/>
      </c>
      <c r="K38" s="108">
        <f>IF($B$5="Junta",0,K$9*$C28)</f>
        <v/>
      </c>
      <c r="L38" s="108">
        <f>IF($B$5="Junta",0,L$9*$C28)</f>
        <v/>
      </c>
      <c r="M38" s="108">
        <f>IF($B$5="Junta",0,M$9*$C28)</f>
        <v/>
      </c>
      <c r="N38" s="117">
        <f>SUMIFS(B38:M38,$B$8:$M$8,"&lt;="&amp;$B$4)</f>
        <v/>
      </c>
      <c r="O38" s="108">
        <f>SUM(B38:M38)</f>
        <v/>
      </c>
    </row>
    <row r="39">
      <c r="A39" s="103" t="inlineStr">
        <is>
          <t>Site Cali</t>
        </is>
      </c>
      <c r="B39" s="108">
        <f>IF($B$5="Junta",B$9*B20,B$9*$C29)</f>
        <v/>
      </c>
      <c r="C39" s="108">
        <f>IF($B$5="Junta",C$9*C20,C$9*$C29)</f>
        <v/>
      </c>
      <c r="D39" s="108">
        <f>IF($B$5="Junta",D$9*D20,D$9*$C29)</f>
        <v/>
      </c>
      <c r="E39" s="108">
        <f>IF($B$5="Junta",E$9*E20,E$9*$C29)</f>
        <v/>
      </c>
      <c r="F39" s="108">
        <f>IF($B$5="Junta",F$9*F20,F$9*$C29)</f>
        <v/>
      </c>
      <c r="G39" s="108">
        <f>IF($B$5="Junta",G$9*G20,G$9*$C29)</f>
        <v/>
      </c>
      <c r="H39" s="108">
        <f>IF($B$5="Junta",H$9*H20,H$9*$C29)</f>
        <v/>
      </c>
      <c r="I39" s="108">
        <f>IF($B$5="Junta",I$9*I20,I$9*$C29)</f>
        <v/>
      </c>
      <c r="J39" s="108">
        <f>IF($B$5="Junta",J$9*J20,J$9*$C29)</f>
        <v/>
      </c>
      <c r="K39" s="108">
        <f>IF($B$5="Junta",K$9*K20,K$9*$C29)</f>
        <v/>
      </c>
      <c r="L39" s="108">
        <f>IF($B$5="Junta",L$9*L20,L$9*$C29)</f>
        <v/>
      </c>
      <c r="M39" s="108">
        <f>IF($B$5="Junta",M$9*M20,M$9*$C29)</f>
        <v/>
      </c>
      <c r="N39" s="117">
        <f>SUMIFS(B39:M39,$B$8:$M$8,"&lt;="&amp;$B$4)</f>
        <v/>
      </c>
      <c r="O39" s="108">
        <f>SUM(B39:M39)</f>
        <v/>
      </c>
    </row>
    <row r="40">
      <c r="A40" s="103" t="inlineStr">
        <is>
          <t>Alternative Sales</t>
        </is>
      </c>
      <c r="B40" s="108">
        <f>IF($B$5="Junta",B$9*B21,B$9*$C30)</f>
        <v/>
      </c>
      <c r="C40" s="108">
        <f>IF($B$5="Junta",C$9*C21,C$9*$C30)</f>
        <v/>
      </c>
      <c r="D40" s="108">
        <f>IF($B$5="Junta",D$9*D21,D$9*$C30)</f>
        <v/>
      </c>
      <c r="E40" s="108">
        <f>IF($B$5="Junta",E$9*E21,E$9*$C30)</f>
        <v/>
      </c>
      <c r="F40" s="108">
        <f>IF($B$5="Junta",F$9*F21,F$9*$C30)</f>
        <v/>
      </c>
      <c r="G40" s="108">
        <f>IF($B$5="Junta",G$9*G21,G$9*$C30)</f>
        <v/>
      </c>
      <c r="H40" s="108">
        <f>IF($B$5="Junta",H$9*H21,H$9*$C30)</f>
        <v/>
      </c>
      <c r="I40" s="108">
        <f>IF($B$5="Junta",I$9*I21,I$9*$C30)</f>
        <v/>
      </c>
      <c r="J40" s="108">
        <f>IF($B$5="Junta",J$9*J21,J$9*$C30)</f>
        <v/>
      </c>
      <c r="K40" s="108">
        <f>IF($B$5="Junta",K$9*K21,K$9*$C30)</f>
        <v/>
      </c>
      <c r="L40" s="108">
        <f>IF($B$5="Junta",L$9*L21,L$9*$C30)</f>
        <v/>
      </c>
      <c r="M40" s="108">
        <f>IF($B$5="Junta",M$9*M21,M$9*$C30)</f>
        <v/>
      </c>
      <c r="N40" s="117">
        <f>SUMIFS(B40:M40,$B$8:$M$8,"&lt;="&amp;$B$4)</f>
        <v/>
      </c>
      <c r="O40" s="108">
        <f>SUM(B40:M40)</f>
        <v/>
      </c>
    </row>
    <row r="41">
      <c r="A41" s="110" t="inlineStr">
        <is>
          <t>TOTAL</t>
        </is>
      </c>
      <c r="B41" s="111">
        <f>SUM(B35:B40)</f>
        <v/>
      </c>
      <c r="C41" s="111">
        <f>SUM(C35:C40)</f>
        <v/>
      </c>
      <c r="D41" s="111">
        <f>SUM(D35:D40)</f>
        <v/>
      </c>
      <c r="E41" s="111">
        <f>SUM(E35:E40)</f>
        <v/>
      </c>
      <c r="F41" s="111">
        <f>SUM(F35:F40)</f>
        <v/>
      </c>
      <c r="G41" s="111">
        <f>SUM(G35:G40)</f>
        <v/>
      </c>
      <c r="H41" s="111">
        <f>SUM(H35:H40)</f>
        <v/>
      </c>
      <c r="I41" s="111">
        <f>SUM(I35:I40)</f>
        <v/>
      </c>
      <c r="J41" s="111">
        <f>SUM(J35:J40)</f>
        <v/>
      </c>
      <c r="K41" s="111">
        <f>SUM(K35:K40)</f>
        <v/>
      </c>
      <c r="L41" s="111">
        <f>SUM(L35:L40)</f>
        <v/>
      </c>
      <c r="M41" s="111">
        <f>SUM(M35:M40)</f>
        <v/>
      </c>
      <c r="N41" s="111">
        <f>SUM(N35:N40)</f>
        <v/>
      </c>
      <c r="O41" s="111">
        <f>SUM(O35:O40)</f>
        <v/>
      </c>
    </row>
    <row r="43">
      <c r="A43" s="105" t="inlineStr">
        <is>
          <t>Presupuesto por nueva estructura (m²)</t>
        </is>
      </c>
      <c r="B43" s="105" t="inlineStr">
        <is>
          <t>Ene</t>
        </is>
      </c>
      <c r="C43" s="105" t="inlineStr">
        <is>
          <t>Feb</t>
        </is>
      </c>
      <c r="D43" s="105" t="inlineStr">
        <is>
          <t>Mar</t>
        </is>
      </c>
      <c r="E43" s="105" t="inlineStr">
        <is>
          <t>Abr</t>
        </is>
      </c>
      <c r="F43" s="105" t="inlineStr">
        <is>
          <t>May</t>
        </is>
      </c>
      <c r="G43" s="105" t="inlineStr">
        <is>
          <t>Jun</t>
        </is>
      </c>
      <c r="H43" s="105" t="inlineStr">
        <is>
          <t>Jul</t>
        </is>
      </c>
      <c r="I43" s="105" t="inlineStr">
        <is>
          <t>Ago</t>
        </is>
      </c>
      <c r="J43" s="105" t="inlineStr">
        <is>
          <t>Sep</t>
        </is>
      </c>
      <c r="K43" s="105" t="inlineStr">
        <is>
          <t>Oct</t>
        </is>
      </c>
      <c r="L43" s="105" t="inlineStr">
        <is>
          <t>Nov</t>
        </is>
      </c>
      <c r="M43" s="105" t="inlineStr">
        <is>
          <t>Dic</t>
        </is>
      </c>
      <c r="N43" s="105" t="inlineStr">
        <is>
          <t>YTD (≤ corte)</t>
        </is>
      </c>
      <c r="O43" s="105" t="inlineStr">
        <is>
          <t>Total año</t>
        </is>
      </c>
    </row>
    <row r="44">
      <c r="A44" s="103" t="inlineStr">
        <is>
          <t>Ventas Alternativas</t>
        </is>
      </c>
      <c r="B44" s="108">
        <f>B40</f>
        <v/>
      </c>
      <c r="C44" s="108">
        <f>C40</f>
        <v/>
      </c>
      <c r="D44" s="108">
        <f>D40</f>
        <v/>
      </c>
      <c r="E44" s="108">
        <f>E40</f>
        <v/>
      </c>
      <c r="F44" s="108">
        <f>F40</f>
        <v/>
      </c>
      <c r="G44" s="108">
        <f>G40</f>
        <v/>
      </c>
      <c r="H44" s="108">
        <f>H40</f>
        <v/>
      </c>
      <c r="I44" s="108">
        <f>I40</f>
        <v/>
      </c>
      <c r="J44" s="108">
        <f>J40</f>
        <v/>
      </c>
      <c r="K44" s="108">
        <f>K40</f>
        <v/>
      </c>
      <c r="L44" s="108">
        <f>L40</f>
        <v/>
      </c>
      <c r="M44" s="108">
        <f>M40</f>
        <v/>
      </c>
      <c r="N44" s="117">
        <f>SUMIFS(B44:M44,$B$8:$M$8,"&lt;="&amp;$B$4)</f>
        <v/>
      </c>
      <c r="O44" s="108">
        <f>SUM(B44:M44)</f>
        <v/>
      </c>
    </row>
    <row r="45">
      <c r="A45" s="103" t="inlineStr">
        <is>
          <t>Industrial + Distribución (total − Alternativas)</t>
        </is>
      </c>
      <c r="B45" s="108">
        <f>B41-B44</f>
        <v/>
      </c>
      <c r="C45" s="108">
        <f>C41-C44</f>
        <v/>
      </c>
      <c r="D45" s="108">
        <f>D41-D44</f>
        <v/>
      </c>
      <c r="E45" s="108">
        <f>E41-E44</f>
        <v/>
      </c>
      <c r="F45" s="108">
        <f>F41-F44</f>
        <v/>
      </c>
      <c r="G45" s="108">
        <f>G41-G44</f>
        <v/>
      </c>
      <c r="H45" s="108">
        <f>H41-H44</f>
        <v/>
      </c>
      <c r="I45" s="108">
        <f>I41-I44</f>
        <v/>
      </c>
      <c r="J45" s="108">
        <f>J41-J44</f>
        <v/>
      </c>
      <c r="K45" s="108">
        <f>K41-K44</f>
        <v/>
      </c>
      <c r="L45" s="108">
        <f>L41-L44</f>
        <v/>
      </c>
      <c r="M45" s="108">
        <f>M41-M44</f>
        <v/>
      </c>
      <c r="N45" s="117">
        <f>SUMIFS(B45:M45,$B$8:$M$8,"&lt;="&amp;$B$4)</f>
        <v/>
      </c>
      <c r="O45" s="108">
        <f>SUM(B45:M45)</f>
        <v/>
      </c>
    </row>
    <row r="46">
      <c r="A46" s="103" t="inlineStr">
        <is>
          <t>% Industrial (prorrateo, hoja 22)</t>
        </is>
      </c>
      <c r="B46" s="113">
        <f>'22_Canales_Segmentos'!$F$17</f>
        <v/>
      </c>
      <c r="C46" s="113">
        <f>'22_Canales_Segmentos'!$F$17</f>
        <v/>
      </c>
      <c r="D46" s="113">
        <f>'22_Canales_Segmentos'!$F$17</f>
        <v/>
      </c>
      <c r="E46" s="113">
        <f>'22_Canales_Segmentos'!$F$17</f>
        <v/>
      </c>
      <c r="F46" s="113">
        <f>'22_Canales_Segmentos'!$F$17</f>
        <v/>
      </c>
      <c r="G46" s="113">
        <f>'22_Canales_Segmentos'!$F$17</f>
        <v/>
      </c>
      <c r="H46" s="113">
        <f>'22_Canales_Segmentos'!$F$17</f>
        <v/>
      </c>
      <c r="I46" s="113">
        <f>'22_Canales_Segmentos'!$F$17</f>
        <v/>
      </c>
      <c r="J46" s="113">
        <f>'22_Canales_Segmentos'!$F$17</f>
        <v/>
      </c>
      <c r="K46" s="113">
        <f>'22_Canales_Segmentos'!$F$17</f>
        <v/>
      </c>
      <c r="L46" s="113">
        <f>'22_Canales_Segmentos'!$F$17</f>
        <v/>
      </c>
      <c r="M46" s="113">
        <f>'22_Canales_Segmentos'!$F$17</f>
        <v/>
      </c>
      <c r="N46" s="113">
        <f>'22_Canales_Segmentos'!$F$17</f>
        <v/>
      </c>
    </row>
    <row r="47">
      <c r="A47" s="103" t="inlineStr">
        <is>
          <t>Industrial</t>
        </is>
      </c>
      <c r="B47" s="108">
        <f>B45*B46</f>
        <v/>
      </c>
      <c r="C47" s="108">
        <f>C45*C46</f>
        <v/>
      </c>
      <c r="D47" s="108">
        <f>D45*D46</f>
        <v/>
      </c>
      <c r="E47" s="108">
        <f>E45*E46</f>
        <v/>
      </c>
      <c r="F47" s="108">
        <f>F45*F46</f>
        <v/>
      </c>
      <c r="G47" s="108">
        <f>G45*G46</f>
        <v/>
      </c>
      <c r="H47" s="108">
        <f>H45*H46</f>
        <v/>
      </c>
      <c r="I47" s="108">
        <f>I45*I46</f>
        <v/>
      </c>
      <c r="J47" s="108">
        <f>J45*J46</f>
        <v/>
      </c>
      <c r="K47" s="108">
        <f>K45*K46</f>
        <v/>
      </c>
      <c r="L47" s="108">
        <f>L45*L46</f>
        <v/>
      </c>
      <c r="M47" s="108">
        <f>M45*M46</f>
        <v/>
      </c>
      <c r="N47" s="117">
        <f>SUMIFS(B47:M47,$B$8:$M$8,"&lt;="&amp;$B$4)</f>
        <v/>
      </c>
      <c r="O47" s="108">
        <f>SUM(B47:M47)</f>
        <v/>
      </c>
    </row>
    <row r="48">
      <c r="A48" s="103" t="inlineStr">
        <is>
          <t>Distribución</t>
        </is>
      </c>
      <c r="B48" s="108">
        <f>B45*(1-B46)</f>
        <v/>
      </c>
      <c r="C48" s="108">
        <f>C45*(1-C46)</f>
        <v/>
      </c>
      <c r="D48" s="108">
        <f>D45*(1-D46)</f>
        <v/>
      </c>
      <c r="E48" s="108">
        <f>E45*(1-E46)</f>
        <v/>
      </c>
      <c r="F48" s="108">
        <f>F45*(1-F46)</f>
        <v/>
      </c>
      <c r="G48" s="108">
        <f>G45*(1-G46)</f>
        <v/>
      </c>
      <c r="H48" s="108">
        <f>H45*(1-H46)</f>
        <v/>
      </c>
      <c r="I48" s="108">
        <f>I45*(1-I46)</f>
        <v/>
      </c>
      <c r="J48" s="108">
        <f>J45*(1-J46)</f>
        <v/>
      </c>
      <c r="K48" s="108">
        <f>K45*(1-K46)</f>
        <v/>
      </c>
      <c r="L48" s="108">
        <f>L45*(1-L46)</f>
        <v/>
      </c>
      <c r="M48" s="108">
        <f>M45*(1-M46)</f>
        <v/>
      </c>
      <c r="N48" s="117">
        <f>SUMIFS(B48:M48,$B$8:$M$8,"&lt;="&amp;$B$4)</f>
        <v/>
      </c>
      <c r="O48" s="108">
        <f>SUM(B48:M48)</f>
        <v/>
      </c>
    </row>
    <row r="49">
      <c r="A49" s="103" t="inlineStr">
        <is>
          <t>Construcción</t>
        </is>
      </c>
      <c r="B49" s="108">
        <f>B41*'22_Canales_Segmentos'!$F$25</f>
        <v/>
      </c>
      <c r="C49" s="108">
        <f>C41*'22_Canales_Segmentos'!$F$25</f>
        <v/>
      </c>
      <c r="D49" s="108">
        <f>D41*'22_Canales_Segmentos'!$F$25</f>
        <v/>
      </c>
      <c r="E49" s="108">
        <f>E41*'22_Canales_Segmentos'!$F$25</f>
        <v/>
      </c>
      <c r="F49" s="108">
        <f>F41*'22_Canales_Segmentos'!$F$25</f>
        <v/>
      </c>
      <c r="G49" s="108">
        <f>G41*'22_Canales_Segmentos'!$F$25</f>
        <v/>
      </c>
      <c r="H49" s="108">
        <f>H41*'22_Canales_Segmentos'!$F$25</f>
        <v/>
      </c>
      <c r="I49" s="108">
        <f>I41*'22_Canales_Segmentos'!$F$25</f>
        <v/>
      </c>
      <c r="J49" s="108">
        <f>J41*'22_Canales_Segmentos'!$F$25</f>
        <v/>
      </c>
      <c r="K49" s="108">
        <f>K41*'22_Canales_Segmentos'!$F$25</f>
        <v/>
      </c>
      <c r="L49" s="108">
        <f>L41*'22_Canales_Segmentos'!$F$25</f>
        <v/>
      </c>
      <c r="M49" s="108">
        <f>M41*'22_Canales_Segmentos'!$F$25</f>
        <v/>
      </c>
      <c r="N49" s="117">
        <f>SUMIFS(B49:M49,$B$8:$M$8,"&lt;="&amp;$B$4)</f>
        <v/>
      </c>
      <c r="O49" s="108">
        <f>SUM(B49:M49)</f>
        <v/>
      </c>
    </row>
    <row r="50">
      <c r="A50" s="103" t="inlineStr">
        <is>
          <t>Refrigeración</t>
        </is>
      </c>
      <c r="B50" s="108">
        <f>B41*'22_Canales_Segmentos'!$F$26</f>
        <v/>
      </c>
      <c r="C50" s="108">
        <f>C41*'22_Canales_Segmentos'!$F$26</f>
        <v/>
      </c>
      <c r="D50" s="108">
        <f>D41*'22_Canales_Segmentos'!$F$26</f>
        <v/>
      </c>
      <c r="E50" s="108">
        <f>E41*'22_Canales_Segmentos'!$F$26</f>
        <v/>
      </c>
      <c r="F50" s="108">
        <f>F41*'22_Canales_Segmentos'!$F$26</f>
        <v/>
      </c>
      <c r="G50" s="108">
        <f>G41*'22_Canales_Segmentos'!$F$26</f>
        <v/>
      </c>
      <c r="H50" s="108">
        <f>H41*'22_Canales_Segmentos'!$F$26</f>
        <v/>
      </c>
      <c r="I50" s="108">
        <f>I41*'22_Canales_Segmentos'!$F$26</f>
        <v/>
      </c>
      <c r="J50" s="108">
        <f>J41*'22_Canales_Segmentos'!$F$26</f>
        <v/>
      </c>
      <c r="K50" s="108">
        <f>K41*'22_Canales_Segmentos'!$F$26</f>
        <v/>
      </c>
      <c r="L50" s="108">
        <f>L41*'22_Canales_Segmentos'!$F$26</f>
        <v/>
      </c>
      <c r="M50" s="108">
        <f>M41*'22_Canales_Segmentos'!$F$26</f>
        <v/>
      </c>
      <c r="N50" s="117">
        <f>SUMIFS(B50:M50,$B$8:$M$8,"&lt;="&amp;$B$4)</f>
        <v/>
      </c>
      <c r="O50" s="108">
        <f>SUM(B50:M50)</f>
        <v/>
      </c>
    </row>
  </sheetData>
  <dataValidations count="1">
    <dataValidation sqref="B5" showDropDown="0" showInputMessage="0" showErrorMessage="0" allowBlank="0" type="list">
      <formula1>"Anterior,Junta"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061530"/>
    <outlinePr summaryBelow="1" summaryRight="1"/>
    <pageSetUpPr/>
  </sheetPr>
  <dimension ref="A1:H25"/>
  <sheetViews>
    <sheetView showGridLines="0" zoomScaleNormal="100" workbookViewId="0">
      <selection activeCell="C23" sqref="C23"/>
    </sheetView>
  </sheetViews>
  <sheetFormatPr baseColWidth="10" defaultColWidth="8.7109375" defaultRowHeight="15"/>
  <cols>
    <col width="30" customWidth="1" min="1" max="1"/>
    <col width="13" customWidth="1" min="2" max="2"/>
    <col width="16" customWidth="1" min="3" max="4"/>
    <col width="13" customWidth="1" min="5" max="6"/>
    <col width="18" customWidth="1" min="7" max="7"/>
    <col width="18" customWidth="1" min="8" max="8"/>
  </cols>
  <sheetData>
    <row r="1" ht="18" customHeight="1">
      <c r="A1" s="2" t="inlineStr">
        <is>
          <t xml:space="preserve">04 · Backlog – Octuber </t>
        </is>
      </c>
    </row>
    <row r="2">
      <c r="A2" s="24" t="inlineStr">
        <is>
          <t>Tabla por producto + progresión mensual del backlog (COP MM) y margen</t>
        </is>
      </c>
    </row>
    <row r="4" ht="30" customHeight="1">
      <c r="A4" s="25" t="inlineStr">
        <is>
          <t>Producto / métrica</t>
        </is>
      </c>
      <c r="B4" s="25" t="inlineStr">
        <is>
          <t>Mes actual</t>
        </is>
      </c>
      <c r="C4" s="25" t="inlineStr">
        <is>
          <t>PY</t>
        </is>
      </c>
      <c r="D4" s="25" t="inlineStr">
        <is>
          <t>Δ vs PY</t>
        </is>
      </c>
      <c r="E4" s="25" t="inlineStr">
        <is>
          <t>1 Ene 2026</t>
        </is>
      </c>
      <c r="F4" s="25" t="inlineStr">
        <is>
          <t>Δ vs 1 Ene</t>
        </is>
      </c>
    </row>
    <row r="5">
      <c r="A5" s="26" t="inlineStr">
        <is>
          <t>IMP – Volume (m²)</t>
        </is>
      </c>
      <c r="B5" s="27" t="n">
        <v>525529</v>
      </c>
      <c r="C5" s="27" t="n">
        <v>360246</v>
      </c>
      <c r="D5" s="28">
        <f>IF(OR(B5="",C5=""),"",IF(C5=0,"n.a.",B5/C5-1))</f>
        <v/>
      </c>
      <c r="E5" s="27" t="n">
        <v>364496</v>
      </c>
      <c r="F5" s="28">
        <f>IF(OR(B5="",E5=""),"",IF(E5=0,"n.a.",B5/E5-1))</f>
        <v/>
      </c>
    </row>
    <row r="6">
      <c r="A6" s="26" t="inlineStr">
        <is>
          <t>Kingcore – Volume (m²)</t>
        </is>
      </c>
      <c r="B6" s="27" t="n">
        <v>78432</v>
      </c>
      <c r="C6" s="27" t="n">
        <v>38588</v>
      </c>
      <c r="D6" s="28">
        <f>IF(OR(B6="",C6=""),"",IF(C6=0,"n.a.",B6/C6-1))</f>
        <v/>
      </c>
      <c r="E6" s="27" t="n">
        <v>22362</v>
      </c>
      <c r="F6" s="28">
        <f>IF(OR(B6="",E6=""),"",IF(E6=0,"n.a.",B6/E6-1))</f>
        <v/>
      </c>
    </row>
    <row r="7">
      <c r="A7" s="26" t="inlineStr">
        <is>
          <t>Single Skin – Volume (m²)</t>
        </is>
      </c>
      <c r="B7" s="27" t="n">
        <v>57196</v>
      </c>
      <c r="C7" s="27" t="n">
        <v>21370</v>
      </c>
      <c r="D7" s="28">
        <f>IF(OR(B7="",C7=""),"",IF(C7=0,"n.a.",B7/C7-1))</f>
        <v/>
      </c>
      <c r="E7" s="27" t="n">
        <v>21486</v>
      </c>
      <c r="F7" s="28">
        <f>IF(OR(B7="",E7=""),"",IF(E7=0,"n.a.",B7/E7-1))</f>
        <v/>
      </c>
    </row>
    <row r="8">
      <c r="A8" s="26" t="inlineStr">
        <is>
          <t>Benchmark – Volume (m²)</t>
        </is>
      </c>
      <c r="B8" s="27" t="n">
        <v>12167</v>
      </c>
      <c r="C8" s="27" t="n">
        <v>894</v>
      </c>
      <c r="D8" s="46">
        <f>IF(OR(B8="",C8=""),"",IF(C8=0,"n.a.",B8/C8-1))</f>
        <v/>
      </c>
      <c r="E8" s="27" t="n">
        <v>349</v>
      </c>
      <c r="F8" s="28">
        <f>IF(OR(B8="",E8=""),"",IF(E8=0,"n.a.",B8/E8-1))</f>
        <v/>
      </c>
    </row>
    <row r="9">
      <c r="A9" s="26" t="inlineStr">
        <is>
          <t>IMP – Revenue (COP MM)</t>
        </is>
      </c>
      <c r="B9" s="27" t="n">
        <v>49836</v>
      </c>
      <c r="C9" s="27" t="n">
        <v>35225</v>
      </c>
      <c r="D9" s="28">
        <f>IF(OR(B9="",C9=""),"",IF(C9=0,"n.a.",B9/C9-1))</f>
        <v/>
      </c>
      <c r="E9" s="27" t="n">
        <v>35477</v>
      </c>
      <c r="F9" s="28">
        <f>IF(OR(B9="",E9=""),"",IF(E9=0,"n.a.",B9/E9-1))</f>
        <v/>
      </c>
    </row>
    <row r="10">
      <c r="A10" s="26" t="inlineStr">
        <is>
          <t>Margen (Std)</t>
        </is>
      </c>
      <c r="B10" s="38" t="n">
        <v>0.273</v>
      </c>
      <c r="C10" s="38" t="n">
        <v>0.25</v>
      </c>
      <c r="D10" s="39">
        <f>(B10-C10)*100</f>
        <v/>
      </c>
      <c r="E10" s="38" t="n">
        <v>0.25</v>
      </c>
      <c r="F10" s="39">
        <f>(B10-E10)*100</f>
        <v/>
      </c>
    </row>
    <row r="11">
      <c r="A11" s="26" t="inlineStr">
        <is>
          <t>Margen (Std) sin Canpack</t>
        </is>
      </c>
      <c r="B11" s="38" t="n">
        <v>0.277</v>
      </c>
      <c r="C11" s="38" t="n">
        <v>0.25</v>
      </c>
      <c r="D11" s="39">
        <f>(B11-C11)*100</f>
        <v/>
      </c>
      <c r="E11" s="38" t="n">
        <v>0.25</v>
      </c>
      <c r="F11" s="39">
        <f>(B11-E11)*100</f>
        <v/>
      </c>
    </row>
    <row r="13" ht="30" customHeight="1">
      <c r="A13" s="25" t="inlineStr">
        <is>
          <t>N° mes</t>
        </is>
      </c>
      <c r="B13" s="25" t="inlineStr">
        <is>
          <t>Mes</t>
        </is>
      </c>
      <c r="C13" s="25" t="inlineStr">
        <is>
          <t>Backlog CY (COP MM)</t>
        </is>
      </c>
      <c r="D13" s="25" t="inlineStr">
        <is>
          <t>Backlog PY (COP MM)</t>
        </is>
      </c>
      <c r="E13" s="25" t="inlineStr">
        <is>
          <t>YoY</t>
        </is>
      </c>
      <c r="F13" s="25" t="inlineStr">
        <is>
          <t>Margen CY %</t>
        </is>
      </c>
      <c r="G13" s="114" t="inlineStr">
        <is>
          <t>Etiqueta barra 2026: Backlog m² (input)</t>
        </is>
      </c>
      <c r="H13" s="114" t="inlineStr">
        <is>
          <t>Etiqueta barra 2025: Backlog m² (input)</t>
        </is>
      </c>
    </row>
    <row r="14">
      <c r="A14" s="32" t="n">
        <v>1</v>
      </c>
      <c r="B14" s="30" t="inlineStr">
        <is>
          <t>Jan</t>
        </is>
      </c>
      <c r="C14" s="40" t="n">
        <v>35566.1</v>
      </c>
      <c r="D14" s="40" t="n">
        <v>30422.1</v>
      </c>
      <c r="E14" s="28">
        <f>IF(OR(C14="",D14=""),"",IF(D14=0,"n.a.",C14/D14-1))</f>
        <v/>
      </c>
      <c r="F14" s="38" t="n">
        <v>0.251</v>
      </c>
      <c r="G14" s="106" t="n"/>
      <c r="H14" s="106" t="n"/>
    </row>
    <row r="15">
      <c r="A15" s="32" t="n">
        <v>2</v>
      </c>
      <c r="B15" s="30" t="inlineStr">
        <is>
          <t>Feb</t>
        </is>
      </c>
      <c r="C15" s="40" t="n">
        <v>36104.5</v>
      </c>
      <c r="D15" s="40" t="n">
        <v>31461.6</v>
      </c>
      <c r="E15" s="28">
        <f>IF(OR(C15="",D15=""),"",IF(D15=0,"n.a.",C15/D15-1))</f>
        <v/>
      </c>
      <c r="F15" s="38" t="n">
        <v>0.254</v>
      </c>
      <c r="G15" s="106" t="n"/>
      <c r="H15" s="106" t="n"/>
    </row>
    <row r="16">
      <c r="A16" s="32" t="n">
        <v>3</v>
      </c>
      <c r="B16" s="30" t="inlineStr">
        <is>
          <t>Mar</t>
        </is>
      </c>
      <c r="C16" s="40" t="n">
        <v>39420.9</v>
      </c>
      <c r="D16" s="40" t="n">
        <v>36223.7</v>
      </c>
      <c r="E16" s="28">
        <f>IF(OR(C16="",D16=""),"",IF(D16=0,"n.a.",C16/D16-1))</f>
        <v/>
      </c>
      <c r="F16" s="38" t="n">
        <v>0.259</v>
      </c>
      <c r="G16" s="106" t="n"/>
      <c r="H16" s="106" t="n"/>
    </row>
    <row r="17">
      <c r="A17" s="32" t="n">
        <v>4</v>
      </c>
      <c r="B17" s="30" t="inlineStr">
        <is>
          <t>Apr</t>
        </is>
      </c>
      <c r="C17" s="40" t="n">
        <v>38886.8</v>
      </c>
      <c r="D17" s="40" t="n">
        <v>34454.1</v>
      </c>
      <c r="E17" s="28">
        <f>IF(OR(C17="",D17=""),"",IF(D17=0,"n.a.",C17/D17-1))</f>
        <v/>
      </c>
      <c r="F17" s="38" t="n">
        <v>0.253</v>
      </c>
      <c r="G17" s="106" t="n"/>
      <c r="H17" s="106" t="n"/>
    </row>
    <row r="18">
      <c r="A18" s="32" t="n">
        <v>5</v>
      </c>
      <c r="B18" s="30" t="inlineStr">
        <is>
          <t>May</t>
        </is>
      </c>
      <c r="C18" s="40" t="n">
        <v>55927.6</v>
      </c>
      <c r="D18" s="40" t="n">
        <v>31842.8</v>
      </c>
      <c r="E18" s="28">
        <f>IF(OR(C18="",D18=""),"",IF(D18=0,"n.a.",C18/D18-1))</f>
        <v/>
      </c>
      <c r="F18" s="38" t="n">
        <v>0.226</v>
      </c>
      <c r="G18" s="106" t="n"/>
      <c r="H18" s="106" t="n"/>
    </row>
    <row r="19">
      <c r="A19" s="32" t="n">
        <v>6</v>
      </c>
      <c r="B19" s="30" t="inlineStr">
        <is>
          <t>Jun</t>
        </is>
      </c>
      <c r="C19" s="40" t="n">
        <v>56477.9</v>
      </c>
      <c r="D19" s="40" t="n">
        <v>33251.2</v>
      </c>
      <c r="E19" s="28">
        <f>IF(OR(C19="",D19=""),"",IF(D19=0,"n.a.",C19/D19-1))</f>
        <v/>
      </c>
      <c r="F19" s="38" t="n">
        <v>0.239</v>
      </c>
      <c r="G19" s="106" t="n"/>
      <c r="H19" s="106" t="n"/>
    </row>
    <row r="20">
      <c r="A20" s="32" t="n">
        <v>7</v>
      </c>
      <c r="B20" s="30" t="inlineStr">
        <is>
          <t>Jul</t>
        </is>
      </c>
      <c r="C20" s="40" t="n">
        <v>57136.5</v>
      </c>
      <c r="D20" s="40" t="n">
        <v>30680.1</v>
      </c>
      <c r="E20" s="28">
        <f>IF(OR(C20="",D20=""),"",IF(D20=0,"n.a.",C20/D20-1))</f>
        <v/>
      </c>
      <c r="F20" s="38" t="n">
        <v>0.241</v>
      </c>
      <c r="G20" s="106" t="n"/>
      <c r="H20" s="106" t="n"/>
    </row>
    <row r="21">
      <c r="A21" s="32" t="n">
        <v>8</v>
      </c>
      <c r="B21" s="30" t="inlineStr">
        <is>
          <t>Aug</t>
        </is>
      </c>
      <c r="C21" s="40" t="n">
        <v>51456.1</v>
      </c>
      <c r="D21" s="40" t="n">
        <v>34736.9</v>
      </c>
      <c r="E21" s="28">
        <f>IF(OR(C21="",D21=""),"",IF(D21=0,"n.a.",C21/D21-1))</f>
        <v/>
      </c>
      <c r="F21" s="38" t="n">
        <v>0.241</v>
      </c>
      <c r="G21" s="106" t="n"/>
      <c r="H21" s="106" t="n"/>
    </row>
    <row r="22">
      <c r="A22" s="32" t="n">
        <v>9</v>
      </c>
      <c r="B22" s="30" t="inlineStr">
        <is>
          <t>Sep</t>
        </is>
      </c>
      <c r="C22" s="40" t="n">
        <v>50189</v>
      </c>
      <c r="D22" s="40" t="n">
        <v>33247.5</v>
      </c>
      <c r="E22" s="28">
        <f>IF(OR(C22="",D22=""),"",IF(D22=0,"n.a.",C22/D22-1))</f>
        <v/>
      </c>
      <c r="F22" s="38" t="n">
        <v>0.273</v>
      </c>
      <c r="G22" s="106" t="n">
        <v>498453</v>
      </c>
      <c r="H22" s="106" t="n">
        <v>347834</v>
      </c>
    </row>
    <row r="23">
      <c r="A23" s="32" t="n">
        <v>10</v>
      </c>
      <c r="B23" s="30" t="inlineStr">
        <is>
          <t>Oct</t>
        </is>
      </c>
      <c r="C23" s="40" t="n">
        <v>49836</v>
      </c>
      <c r="D23" s="40" t="n">
        <v>35224.5</v>
      </c>
      <c r="E23" s="28">
        <f>IF(OR(C23="",D23=""),"",IF(D23=0,"n.a.",C23/D23-1))</f>
        <v/>
      </c>
      <c r="F23" s="38">
        <f>B10</f>
        <v/>
      </c>
      <c r="G23" s="106" t="n">
        <v>525529</v>
      </c>
      <c r="H23" s="106" t="n">
        <v>360246</v>
      </c>
    </row>
    <row r="24">
      <c r="A24" s="32" t="n">
        <v>11</v>
      </c>
      <c r="B24" s="30" t="inlineStr">
        <is>
          <t>Nov</t>
        </is>
      </c>
      <c r="C24" s="40" t="n"/>
      <c r="D24" s="40" t="n">
        <v>34456</v>
      </c>
      <c r="E24" s="28">
        <f>IF(OR(C24="",D24=""),"",IF(D24=0,"n.a.",C24/D24-1))</f>
        <v/>
      </c>
      <c r="F24" s="38" t="n"/>
      <c r="G24" s="106" t="n"/>
      <c r="H24" s="106" t="n"/>
    </row>
    <row r="25">
      <c r="A25" s="32" t="n">
        <v>12</v>
      </c>
      <c r="B25" s="30" t="inlineStr">
        <is>
          <t>Dec</t>
        </is>
      </c>
      <c r="C25" s="40" t="n"/>
      <c r="D25" s="40" t="n">
        <v>35476.9</v>
      </c>
      <c r="E25" s="28">
        <f>IF(OR(C25="",D25=""),"",IF(D25=0,"n.a.",C25/D25-1))</f>
        <v/>
      </c>
      <c r="F25" s="38" t="n"/>
      <c r="G25" s="106" t="n"/>
      <c r="H25" s="106" t="n"/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61530"/>
    <outlinePr summaryBelow="1" summaryRight="1"/>
    <pageSetUpPr/>
  </sheetPr>
  <dimension ref="A1:J12"/>
  <sheetViews>
    <sheetView showGridLines="0" zoomScaleNormal="100" workbookViewId="0">
      <selection activeCell="F36" sqref="F36"/>
    </sheetView>
  </sheetViews>
  <sheetFormatPr baseColWidth="10" defaultColWidth="8.7109375" defaultRowHeight="15"/>
  <cols>
    <col width="22" customWidth="1" min="1" max="1"/>
    <col width="18" customWidth="1" min="2" max="2"/>
    <col width="14" customWidth="1" min="3" max="3"/>
    <col width="10" customWidth="1" min="4" max="8"/>
    <col width="14" customWidth="1" min="9" max="9"/>
    <col width="13" customWidth="1" min="10" max="10"/>
  </cols>
  <sheetData>
    <row r="1" ht="18" customHeight="1">
      <c r="A1" s="2" t="inlineStr">
        <is>
          <t>05 · Backlog por canal (IMP)</t>
        </is>
      </c>
    </row>
    <row r="2">
      <c r="A2" s="24" t="inlineStr">
        <is>
          <t>CM se alimenta del backlog por RSM (hojas 09–14); PY y márgenes se diligencian</t>
        </is>
      </c>
      <c r="F2" t="n">
        <v>537065</v>
      </c>
      <c r="G2" t="n">
        <v>525529</v>
      </c>
      <c r="H2">
        <f>F2-G2</f>
        <v/>
      </c>
    </row>
    <row r="4" ht="30" customHeight="1">
      <c r="A4" s="25" t="inlineStr">
        <is>
          <t>Canal</t>
        </is>
      </c>
      <c r="B4" s="25" t="inlineStr">
        <is>
          <t>Backlog CM (m²) – RSM</t>
        </is>
      </c>
      <c r="C4" s="25" t="inlineStr">
        <is>
          <t>Backlog PY (m²)</t>
        </is>
      </c>
      <c r="D4" s="25" t="inlineStr">
        <is>
          <t>YoY</t>
        </is>
      </c>
      <c r="E4" s="25" t="inlineStr">
        <is>
          <t>GM % CM</t>
        </is>
      </c>
      <c r="F4" s="25" t="inlineStr">
        <is>
          <t>GM % PY</t>
        </is>
      </c>
      <c r="G4" s="25" t="inlineStr">
        <is>
          <t>Δ GM (pp)</t>
        </is>
      </c>
      <c r="H4" s="25" t="inlineStr">
        <is>
          <t>Mix %</t>
        </is>
      </c>
      <c r="I4" s="25" t="inlineStr">
        <is>
          <t>Backlog paneles</t>
        </is>
      </c>
      <c r="J4" s="25" t="inlineStr">
        <is>
          <t>Backlog otros</t>
        </is>
      </c>
    </row>
    <row r="5">
      <c r="A5" s="26" t="inlineStr">
        <is>
          <t>Industrial</t>
        </is>
      </c>
      <c r="B5" s="49">
        <f>251984-11536</f>
        <v/>
      </c>
      <c r="C5" s="27" t="n">
        <v>170762.187937483</v>
      </c>
      <c r="D5" s="28">
        <f>IF(OR(B5="",C5=""),"",IF(C5=0,"n.a.",B5/C5-1))</f>
        <v/>
      </c>
      <c r="E5" s="38" t="n">
        <v>0.33117135762134</v>
      </c>
      <c r="F5" s="38" t="n">
        <v>0.286920827517033</v>
      </c>
      <c r="G5" s="39">
        <f>IF(OR(E5="",F5=""),"",(E5-F5)*100)</f>
        <v/>
      </c>
      <c r="H5" s="28">
        <f>IFERROR(B5/$B$11,0)</f>
        <v/>
      </c>
      <c r="I5" s="44">
        <f>'09_RSM_Industrial'!H18</f>
        <v/>
      </c>
      <c r="J5" s="44">
        <f>'09_RSM_Industrial'!I18</f>
        <v/>
      </c>
    </row>
    <row r="6">
      <c r="A6" s="26" t="inlineStr">
        <is>
          <t>Distribución</t>
        </is>
      </c>
      <c r="B6" s="49" t="n">
        <v>62499</v>
      </c>
      <c r="C6" s="27" t="n">
        <v>50628.6247666893</v>
      </c>
      <c r="D6" s="28">
        <f>IF(OR(B6="",C6=""),"",IF(C6=0,"n.a.",B6/C6-1))</f>
        <v/>
      </c>
      <c r="E6" s="38" t="n">
        <v>0.29966955928374</v>
      </c>
      <c r="F6" s="38" t="n">
        <v>0.270100403669289</v>
      </c>
      <c r="G6" s="39">
        <f>IF(OR(E6="",F6=""),"",(E6-F6)*100)</f>
        <v/>
      </c>
      <c r="H6" s="28">
        <f>IFERROR(B6/$B$11,0)</f>
        <v/>
      </c>
      <c r="I6" s="44">
        <f>'10_RSM_Distribucion'!H20</f>
        <v/>
      </c>
      <c r="J6" s="44">
        <f>'10_RSM_Distribucion'!I20</f>
        <v/>
      </c>
    </row>
    <row r="7">
      <c r="A7" s="26" t="inlineStr">
        <is>
          <t>Otras Geografías</t>
        </is>
      </c>
      <c r="B7" s="49" t="n">
        <v>166377</v>
      </c>
      <c r="C7" s="27" t="n">
        <v>121006.418528783</v>
      </c>
      <c r="D7" s="28">
        <f>IF(OR(B7="",C7=""),"",IF(C7=0,"n.a.",B7/C7-1))</f>
        <v/>
      </c>
      <c r="E7" s="38" t="n">
        <v>0.14624363476804</v>
      </c>
      <c r="F7" s="38" t="n">
        <v>0.104274012878321</v>
      </c>
      <c r="G7" s="39">
        <f>IF(OR(E7="",F7=""),"",(E7-F7)*100)</f>
        <v/>
      </c>
      <c r="H7" s="28">
        <f>IFERROR(B7/$B$11,0)</f>
        <v/>
      </c>
      <c r="I7" s="44">
        <f>'11_RSM_Otras_Geo'!H20</f>
        <v/>
      </c>
      <c r="J7" s="44">
        <f>'11_RSM_Otras_Geo'!I20</f>
        <v/>
      </c>
    </row>
    <row r="8">
      <c r="A8" s="26" t="inlineStr">
        <is>
          <t>Cold Storage</t>
        </is>
      </c>
      <c r="B8" s="49" t="n">
        <v>28642</v>
      </c>
      <c r="C8" s="27" t="n">
        <v>1127.05091697786</v>
      </c>
      <c r="D8" s="28">
        <f>IF(OR(B8="",C8=""),"",IF(C8=0,"n.a.",B8/C8-1))</f>
        <v/>
      </c>
      <c r="E8" s="38" t="n">
        <v>0.280583770053961</v>
      </c>
      <c r="F8" s="38" t="n">
        <v>0.386802424242424</v>
      </c>
      <c r="G8" s="39">
        <f>IF(OR(E8="",F8=""),"",(E8-F8)*100)</f>
        <v/>
      </c>
      <c r="H8" s="28">
        <f>IFERROR(B8/$B$11,0)</f>
        <v/>
      </c>
      <c r="I8" s="44">
        <f>'12_RSM_Cold_Storage'!H20</f>
        <v/>
      </c>
      <c r="J8" s="44">
        <f>'12_RSM_Cold_Storage'!I20</f>
        <v/>
      </c>
    </row>
    <row r="9">
      <c r="A9" s="26" t="inlineStr">
        <is>
          <t>Site Cali</t>
        </is>
      </c>
      <c r="B9" s="49" t="n">
        <v>21774</v>
      </c>
      <c r="C9" s="27" t="n">
        <v>0</v>
      </c>
      <c r="D9" s="46">
        <f>IF(OR(B9="",C9=""),"",IF(C9=0,"n.a.",B9/C9-1))</f>
        <v/>
      </c>
      <c r="E9" s="38" t="n">
        <v>0.367735983388227</v>
      </c>
      <c r="F9" s="38" t="n">
        <v>0</v>
      </c>
      <c r="G9" s="39">
        <f>IF(OR(E9="",F9=""),"",(E9-F9)*100)</f>
        <v/>
      </c>
      <c r="H9" s="28">
        <f>IFERROR(B9/$B$11,0)</f>
        <v/>
      </c>
      <c r="I9" s="44">
        <f>'13_RSM_Site_Cali'!H20</f>
        <v/>
      </c>
      <c r="J9" s="44">
        <f>'13_RSM_Site_Cali'!I20</f>
        <v/>
      </c>
    </row>
    <row r="10">
      <c r="A10" s="26" t="inlineStr">
        <is>
          <t>Ventas Alternativas</t>
        </is>
      </c>
      <c r="B10" s="49" t="n">
        <v>5789</v>
      </c>
      <c r="C10" s="27" t="n">
        <v>4309.71785006631</v>
      </c>
      <c r="D10" s="28">
        <f>IF(OR(B10="",C10=""),"",IF(C10=0,"n.a.",B10/C10-1))</f>
        <v/>
      </c>
      <c r="E10" s="38" t="n">
        <v>0.452758855596467</v>
      </c>
      <c r="F10" s="38" t="n">
        <v>0.36956933853474</v>
      </c>
      <c r="G10" s="39">
        <f>IF(OR(E10="",F10=""),"",(E10-F10)*100)</f>
        <v/>
      </c>
      <c r="H10" s="28">
        <f>IFERROR(B10/$B$11,0)</f>
        <v/>
      </c>
      <c r="I10" s="44">
        <f>'14_RSM_Vtas_Alt'!H20</f>
        <v/>
      </c>
      <c r="J10" s="44">
        <f>'14_RSM_Vtas_Alt'!I20</f>
        <v/>
      </c>
    </row>
    <row r="11">
      <c r="A11" s="33" t="inlineStr">
        <is>
          <t>TOTAL</t>
        </is>
      </c>
      <c r="B11" s="34">
        <f>SUM(B5:B10)</f>
        <v/>
      </c>
      <c r="C11" s="34">
        <f>IF(COUNT(C5:C10)=0,"",SUM(C5:C10))</f>
        <v/>
      </c>
      <c r="D11" s="35">
        <f>IF(OR(B11="",C11=""),"",IF(C11=0,"n.a.",B11/C11-1))</f>
        <v/>
      </c>
      <c r="E11" s="38" t="n"/>
      <c r="F11" s="38" t="n"/>
      <c r="G11" s="47">
        <f>IF(OR(E11="",F11=""),"",(E11-F11)*100)</f>
        <v/>
      </c>
      <c r="H11" s="35">
        <f>SUM(H5:H10)</f>
        <v/>
      </c>
      <c r="I11" s="34">
        <f>SUM(I5:I10)</f>
        <v/>
      </c>
      <c r="J11" s="34">
        <f>SUM(J5:J10)</f>
        <v/>
      </c>
    </row>
    <row r="12">
      <c r="A12" s="30" t="inlineStr">
        <is>
          <t>Control: backlog RSM vs backlog IMP (hoja 04)</t>
        </is>
      </c>
      <c r="B12" s="49">
        <f>B11-'04_Backlog'!B5</f>
        <v/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FF061530"/>
    <outlinePr summaryBelow="1" summaryRight="1"/>
    <pageSetUpPr/>
  </sheetPr>
  <dimension ref="A1:J32"/>
  <sheetViews>
    <sheetView showGridLines="0" tabSelected="1" zoomScaleNormal="100" workbookViewId="0">
      <selection activeCell="E16" sqref="E16"/>
    </sheetView>
  </sheetViews>
  <sheetFormatPr baseColWidth="10" defaultColWidth="8.7109375" defaultRowHeight="15"/>
  <cols>
    <col width="28" customWidth="1" min="1" max="1"/>
    <col width="14" customWidth="1" min="2" max="3"/>
    <col width="11" customWidth="1" min="4" max="4"/>
    <col width="14" customWidth="1" min="5" max="5"/>
    <col width="16" customWidth="1" min="6" max="7"/>
    <col width="18" customWidth="1" min="8" max="8"/>
    <col width="16" customWidth="1" min="9" max="10"/>
  </cols>
  <sheetData>
    <row r="1" ht="18" customHeight="1">
      <c r="A1" s="2" t="inlineStr">
        <is>
          <t>06 · Performed / Forecast OI 2026</t>
        </is>
      </c>
    </row>
    <row r="2">
      <c r="A2" s="24" t="inlineStr">
        <is>
          <t>Real vs forecast mensual, acumulados, trimestres y comparativo vs PY</t>
        </is>
      </c>
    </row>
    <row r="4">
      <c r="A4" s="26" t="inlineStr">
        <is>
          <t>Mes de corte (último mes real)</t>
        </is>
      </c>
      <c r="B4" s="37">
        <f>'02_OI'!B4</f>
        <v/>
      </c>
    </row>
    <row r="6" ht="30" customHeight="1">
      <c r="A6" s="25" t="inlineStr">
        <is>
          <t>N° mes</t>
        </is>
      </c>
      <c r="B6" s="25" t="inlineStr">
        <is>
          <t>Mes</t>
        </is>
      </c>
      <c r="C6" s="25" t="inlineStr">
        <is>
          <t>Trimestre</t>
        </is>
      </c>
      <c r="D6" s="25" t="inlineStr">
        <is>
          <t>Estado</t>
        </is>
      </c>
      <c r="E6" s="25" t="inlineStr">
        <is>
          <t>Volumen m²</t>
        </is>
      </c>
      <c r="F6" s="25" t="inlineStr">
        <is>
          <t>Ingresos COP MM</t>
        </is>
      </c>
      <c r="G6" s="25" t="inlineStr">
        <is>
          <t>Acum. volumen m²</t>
        </is>
      </c>
      <c r="H6" s="25" t="inlineStr">
        <is>
          <t>Acum. ingresos COP MM</t>
        </is>
      </c>
      <c r="I6" s="25" t="inlineStr">
        <is>
          <t>Fuente gráfico: Real</t>
        </is>
      </c>
      <c r="J6" s="25" t="inlineStr">
        <is>
          <t>Fuente gráfico: Forecast</t>
        </is>
      </c>
    </row>
    <row r="7">
      <c r="A7" s="32" t="n">
        <v>1</v>
      </c>
      <c r="B7" s="30" t="inlineStr">
        <is>
          <t>Jan</t>
        </is>
      </c>
      <c r="C7" s="30">
        <f>"Q"&amp;ROUNDUP(A7/3,0)</f>
        <v/>
      </c>
      <c r="D7" s="30">
        <f>IF(A7&lt;=$B$4,"Real","Forecast")</f>
        <v/>
      </c>
      <c r="E7" s="27" t="n">
        <v>104582</v>
      </c>
      <c r="F7" s="51" t="n">
        <v>9968.165999999999</v>
      </c>
      <c r="G7" s="49">
        <f>SUM($E$7:E7)</f>
        <v/>
      </c>
      <c r="H7" s="41">
        <f>SUM($F$7:F7)</f>
        <v/>
      </c>
      <c r="I7" s="49">
        <f>IF(D7="Real",E7,0)</f>
        <v/>
      </c>
      <c r="J7" s="49">
        <f>IF(D7="Forecast",E7,0)</f>
        <v/>
      </c>
    </row>
    <row r="8">
      <c r="A8" s="32" t="n">
        <v>2</v>
      </c>
      <c r="B8" s="30" t="inlineStr">
        <is>
          <t>Feb</t>
        </is>
      </c>
      <c r="C8" s="30">
        <f>"Q"&amp;ROUNDUP(A8/3,0)</f>
        <v/>
      </c>
      <c r="D8" s="30">
        <f>IF(A8&lt;=$B$4,"Real","Forecast")</f>
        <v/>
      </c>
      <c r="E8" s="27" t="n">
        <v>127405</v>
      </c>
      <c r="F8" s="51" t="n">
        <v>12767.714</v>
      </c>
      <c r="G8" s="49">
        <f>SUM($E$7:E8)</f>
        <v/>
      </c>
      <c r="H8" s="41">
        <f>SUM($F$7:F8)</f>
        <v/>
      </c>
      <c r="I8" s="49">
        <f>IF(D8="Real",E8,0)</f>
        <v/>
      </c>
      <c r="J8" s="49">
        <f>IF(D8="Forecast",E8,0)</f>
        <v/>
      </c>
    </row>
    <row r="9">
      <c r="A9" s="32" t="n">
        <v>3</v>
      </c>
      <c r="B9" s="30" t="inlineStr">
        <is>
          <t>Mar</t>
        </is>
      </c>
      <c r="C9" s="30">
        <f>"Q"&amp;ROUNDUP(A9/3,0)</f>
        <v/>
      </c>
      <c r="D9" s="30">
        <f>IF(A9&lt;=$B$4,"Real","Forecast")</f>
        <v/>
      </c>
      <c r="E9" s="27" t="n">
        <v>152049</v>
      </c>
      <c r="F9" s="51" t="n">
        <v>14462.925</v>
      </c>
      <c r="G9" s="52">
        <f>SUM($E$7:E9)</f>
        <v/>
      </c>
      <c r="H9" s="41">
        <f>SUM($F$7:F9)</f>
        <v/>
      </c>
      <c r="I9" s="49">
        <f>IF(D9="Real",E9,0)</f>
        <v/>
      </c>
      <c r="J9" s="49">
        <f>IF(D9="Forecast",E9,0)</f>
        <v/>
      </c>
    </row>
    <row r="10">
      <c r="A10" s="32" t="n">
        <v>4</v>
      </c>
      <c r="B10" s="30" t="inlineStr">
        <is>
          <t>Apr</t>
        </is>
      </c>
      <c r="C10" s="30">
        <f>"Q"&amp;ROUNDUP(A10/3,0)</f>
        <v/>
      </c>
      <c r="D10" s="30">
        <f>IF(A10&lt;=$B$4,"Real","Forecast")</f>
        <v/>
      </c>
      <c r="E10" s="27" t="n">
        <v>126530</v>
      </c>
      <c r="F10" s="51" t="n">
        <v>12270.448</v>
      </c>
      <c r="G10" s="49">
        <f>SUM($E$7:E10)</f>
        <v/>
      </c>
      <c r="H10" s="41">
        <f>SUM($F$7:F10)</f>
        <v/>
      </c>
      <c r="I10" s="49">
        <f>IF(D10="Real",E10,0)</f>
        <v/>
      </c>
      <c r="J10" s="49">
        <f>IF(D10="Forecast",E10,0)</f>
        <v/>
      </c>
    </row>
    <row r="11">
      <c r="A11" s="32" t="n">
        <v>5</v>
      </c>
      <c r="B11" s="30" t="inlineStr">
        <is>
          <t>May</t>
        </is>
      </c>
      <c r="C11" s="30">
        <f>"Q"&amp;ROUNDUP(A11/3,0)</f>
        <v/>
      </c>
      <c r="D11" s="30">
        <f>IF(A11&lt;=$B$4,"Real","Forecast")</f>
        <v/>
      </c>
      <c r="E11" s="27" t="n">
        <v>181126</v>
      </c>
      <c r="F11" s="51" t="n">
        <v>27093.858</v>
      </c>
      <c r="G11" s="49">
        <f>SUM($E$7:E11)</f>
        <v/>
      </c>
      <c r="H11" s="41">
        <f>SUM($F$7:F11)</f>
        <v/>
      </c>
      <c r="I11" s="49">
        <f>IF(D11="Real",E11,0)</f>
        <v/>
      </c>
      <c r="J11" s="49">
        <f>IF(D11="Forecast",E11,0)</f>
        <v/>
      </c>
    </row>
    <row r="12">
      <c r="A12" s="32" t="n">
        <v>6</v>
      </c>
      <c r="B12" s="30" t="inlineStr">
        <is>
          <t>Jun</t>
        </is>
      </c>
      <c r="C12" s="30">
        <f>"Q"&amp;ROUNDUP(A12/3,0)</f>
        <v/>
      </c>
      <c r="D12" s="30">
        <f>IF(A12&lt;=$B$4,"Real","Forecast")</f>
        <v/>
      </c>
      <c r="E12" s="27" t="n">
        <v>124406</v>
      </c>
      <c r="F12" s="51" t="n">
        <v>12022.77278</v>
      </c>
      <c r="G12" s="49">
        <f>SUM($E$7:E12)</f>
        <v/>
      </c>
      <c r="H12" s="41">
        <f>SUM($F$7:F12)</f>
        <v/>
      </c>
      <c r="I12" s="49">
        <f>IF(D12="Real",E12,0)</f>
        <v/>
      </c>
      <c r="J12" s="49">
        <f>IF(D12="Forecast",E12,0)</f>
        <v/>
      </c>
    </row>
    <row r="13">
      <c r="A13" s="32" t="n">
        <v>7</v>
      </c>
      <c r="B13" s="30" t="inlineStr">
        <is>
          <t>Jul</t>
        </is>
      </c>
      <c r="C13" s="30">
        <f>"Q"&amp;ROUNDUP(A13/3,0)</f>
        <v/>
      </c>
      <c r="D13" s="30">
        <f>IF(A13&lt;=$B$4,"Real","Forecast")</f>
        <v/>
      </c>
      <c r="E13" s="27" t="n">
        <v>114336</v>
      </c>
      <c r="F13" s="51" t="n">
        <v>11718.909</v>
      </c>
      <c r="G13" s="49">
        <f>SUM($E$7:E13)</f>
        <v/>
      </c>
      <c r="H13" s="41">
        <f>SUM($F$7:F13)</f>
        <v/>
      </c>
      <c r="I13" s="49">
        <f>IF(D13="Real",E13,0)</f>
        <v/>
      </c>
      <c r="J13" s="49">
        <f>IF(D13="Forecast",E13,0)</f>
        <v/>
      </c>
    </row>
    <row r="14">
      <c r="A14" s="32" t="n">
        <v>8</v>
      </c>
      <c r="B14" s="30" t="inlineStr">
        <is>
          <t>Aug</t>
        </is>
      </c>
      <c r="C14" s="30">
        <f>"Q"&amp;ROUNDUP(A14/3,0)</f>
        <v/>
      </c>
      <c r="D14" s="30">
        <f>IF(A14&lt;=$B$4,"Real","Forecast")</f>
        <v/>
      </c>
      <c r="E14" s="27" t="n">
        <v>151623</v>
      </c>
      <c r="F14" s="51" t="n">
        <v>14500.72</v>
      </c>
      <c r="G14" s="49">
        <f>SUM($E$7:E14)</f>
        <v/>
      </c>
      <c r="H14" s="41">
        <f>SUM($F$7:F14)</f>
        <v/>
      </c>
      <c r="I14" s="49">
        <f>IF(D14="Real",E14,0)</f>
        <v/>
      </c>
      <c r="J14" s="49">
        <f>IF(D14="Forecast",E14,0)</f>
        <v/>
      </c>
    </row>
    <row r="15">
      <c r="A15" s="32" t="n">
        <v>9</v>
      </c>
      <c r="B15" s="30" t="inlineStr">
        <is>
          <t>Sep</t>
        </is>
      </c>
      <c r="C15" s="30">
        <f>"Q"&amp;ROUNDUP(A15/3,0)</f>
        <v/>
      </c>
      <c r="D15" s="30">
        <f>IF(A15&lt;=$B$4,"Real","Forecast")</f>
        <v/>
      </c>
      <c r="E15" s="27" t="n">
        <v>146446</v>
      </c>
      <c r="F15" s="51" t="n">
        <v>13740.67</v>
      </c>
      <c r="G15" s="49">
        <f>SUM($E$7:E15)</f>
        <v/>
      </c>
      <c r="H15" s="41">
        <f>SUM($F$7:F15)</f>
        <v/>
      </c>
      <c r="I15" s="49">
        <f>IF(D15="Real",E15,0)</f>
        <v/>
      </c>
      <c r="J15" s="49">
        <f>IF(D15="Forecast",E15,0)</f>
        <v/>
      </c>
    </row>
    <row r="16">
      <c r="A16" s="32" t="n">
        <v>10</v>
      </c>
      <c r="B16" s="30" t="inlineStr">
        <is>
          <t>Oct</t>
        </is>
      </c>
      <c r="C16" s="30">
        <f>"Q"&amp;ROUNDUP(A16/3,0)</f>
        <v/>
      </c>
      <c r="D16" s="30">
        <f>IF(A16&lt;=$B$4,"Real","Forecast")</f>
        <v/>
      </c>
      <c r="E16" s="27" t="n">
        <v>160547</v>
      </c>
      <c r="F16" s="51" t="n">
        <v>14484</v>
      </c>
      <c r="G16" s="49">
        <f>SUM($E$7:E16)</f>
        <v/>
      </c>
      <c r="H16" s="41">
        <f>SUM($F$7:F16)</f>
        <v/>
      </c>
      <c r="I16" s="49">
        <f>IF(D16="Real",E16,0)</f>
        <v/>
      </c>
      <c r="J16" s="49">
        <f>IF(D16="Forecast",E16,0)</f>
        <v/>
      </c>
    </row>
    <row r="17">
      <c r="A17" s="32" t="n">
        <v>11</v>
      </c>
      <c r="B17" s="30" t="inlineStr">
        <is>
          <t>Nov</t>
        </is>
      </c>
      <c r="C17" s="30">
        <f>"Q"&amp;ROUNDUP(A17/3,0)</f>
        <v/>
      </c>
      <c r="D17" s="30">
        <f>IF(A17&lt;=$B$4,"Real","Forecast")</f>
        <v/>
      </c>
      <c r="E17" s="97" t="n">
        <v>140000</v>
      </c>
      <c r="F17" s="51" t="n">
        <v>15077.1523795199</v>
      </c>
      <c r="G17" s="49">
        <f>SUM($E$7:E17)</f>
        <v/>
      </c>
      <c r="H17" s="41">
        <f>SUM($F$7:F17)</f>
        <v/>
      </c>
      <c r="I17" s="49">
        <f>IF(D17="Real",E17,0)</f>
        <v/>
      </c>
      <c r="J17" s="49">
        <f>IF(D17="Forecast",E17,0)</f>
        <v/>
      </c>
    </row>
    <row r="18">
      <c r="A18" s="32" t="n">
        <v>12</v>
      </c>
      <c r="B18" s="30" t="inlineStr">
        <is>
          <t>Dec</t>
        </is>
      </c>
      <c r="C18" s="30">
        <f>"Q"&amp;ROUNDUP(A18/3,0)</f>
        <v/>
      </c>
      <c r="D18" s="30">
        <f>IF(A18&lt;=$B$4,"Real","Forecast")</f>
        <v/>
      </c>
      <c r="E18" s="97" t="n">
        <v>122000</v>
      </c>
      <c r="F18" s="51" t="n">
        <v>13335.7412796854</v>
      </c>
      <c r="G18" s="52">
        <f>SUM($E$7:E18)</f>
        <v/>
      </c>
      <c r="H18" s="53">
        <f>SUM($F$7:F18)</f>
        <v/>
      </c>
      <c r="I18" s="52">
        <f>IF(D18="Real",E18,0)</f>
        <v/>
      </c>
      <c r="J18" s="49">
        <f>IF(D18="Forecast",E18,0)</f>
        <v/>
      </c>
    </row>
    <row r="20" ht="30" customHeight="1">
      <c r="A20" s="25" t="inlineStr">
        <is>
          <t>Trimestre</t>
        </is>
      </c>
      <c r="B20" s="25" t="n"/>
      <c r="C20" s="25" t="n"/>
      <c r="D20" s="25" t="n"/>
      <c r="E20" s="25" t="inlineStr">
        <is>
          <t>Volumen m²</t>
        </is>
      </c>
      <c r="F20" s="25" t="inlineStr">
        <is>
          <t>Ingresos COP MM</t>
        </is>
      </c>
    </row>
    <row r="21">
      <c r="A21" s="26" t="inlineStr">
        <is>
          <t>Q1</t>
        </is>
      </c>
      <c r="E21" s="49">
        <f>SUMIFS($E$7:$E$18,$C$7:$C$18,A21)</f>
        <v/>
      </c>
      <c r="F21" s="41">
        <f>SUMIFS($F$7:$F$18,$C$7:$C$18,A21)</f>
        <v/>
      </c>
    </row>
    <row r="22">
      <c r="A22" s="26" t="inlineStr">
        <is>
          <t>Q2</t>
        </is>
      </c>
      <c r="E22" s="49">
        <f>SUMIFS($E$7:$E$18,$C$7:$C$18,A22)</f>
        <v/>
      </c>
      <c r="F22" s="41">
        <f>SUMIFS($F$7:$F$18,$C$7:$C$18,A22)</f>
        <v/>
      </c>
    </row>
    <row r="23">
      <c r="A23" s="26" t="inlineStr">
        <is>
          <t>Q3</t>
        </is>
      </c>
      <c r="E23" s="49">
        <f>SUMIFS($E$7:$E$18,$C$7:$C$18,A23)</f>
        <v/>
      </c>
      <c r="F23" s="41">
        <f>SUMIFS($F$7:$F$18,$C$7:$C$18,A23)</f>
        <v/>
      </c>
    </row>
    <row r="24">
      <c r="A24" s="54" t="inlineStr">
        <is>
          <t>Q4</t>
        </is>
      </c>
      <c r="E24" s="55">
        <f>SUMIFS($E$7:$E$18,$C$7:$C$18,A24)</f>
        <v/>
      </c>
      <c r="F24" s="56">
        <f>SUMIFS($F$7:$F$18,$C$7:$C$18,A24)</f>
        <v/>
      </c>
    </row>
    <row r="26" ht="30" customHeight="1">
      <c r="A26" s="25" t="inlineStr">
        <is>
          <t>Comparativo IMP</t>
        </is>
      </c>
      <c r="B26" s="25" t="inlineStr">
        <is>
          <t>2026 (m²)</t>
        </is>
      </c>
      <c r="C26" s="25" t="inlineStr">
        <is>
          <t>2025 PY (m²)</t>
        </is>
      </c>
      <c r="D26" s="25" t="inlineStr">
        <is>
          <t>YoY m²</t>
        </is>
      </c>
      <c r="E26" s="25" t="inlineStr">
        <is>
          <t>2026 COP MM</t>
        </is>
      </c>
      <c r="F26" s="25" t="inlineStr">
        <is>
          <t>2025 COP MM</t>
        </is>
      </c>
      <c r="G26" s="25" t="inlineStr">
        <is>
          <t>YoY COP</t>
        </is>
      </c>
      <c r="H26" s="25" t="inlineStr">
        <is>
          <t>GM 2026</t>
        </is>
      </c>
      <c r="I26" s="25" t="inlineStr">
        <is>
          <t>GM 2025</t>
        </is>
      </c>
      <c r="J26" s="25" t="inlineStr">
        <is>
          <t>Δ GM pp</t>
        </is>
      </c>
    </row>
    <row r="27">
      <c r="A27" s="26" t="inlineStr">
        <is>
          <t>Mes actual (CM)</t>
        </is>
      </c>
      <c r="B27" s="49" t="n">
        <v>160547</v>
      </c>
      <c r="C27" s="27" t="n">
        <v>132619</v>
      </c>
      <c r="D27" s="28">
        <f>IF(OR(B27="",C27=""),"",IF(C27=0,"n.a.",B27/C27-1))</f>
        <v/>
      </c>
      <c r="E27" s="57" t="n">
        <v>14484</v>
      </c>
      <c r="F27" s="51" t="n">
        <v>10674</v>
      </c>
      <c r="G27" s="28">
        <f>IF(OR(E27="",F27=""),"",IF(F27=0,"n.a.",E27/F27-1))</f>
        <v/>
      </c>
      <c r="H27" s="38" t="n">
        <v>0.27</v>
      </c>
      <c r="I27" s="38" t="n">
        <v>0.24</v>
      </c>
      <c r="J27" s="39">
        <f>IF(OR(H27="",I27=""),"",(H27-I27)*100)</f>
        <v/>
      </c>
    </row>
    <row r="28">
      <c r="A28" s="26" t="inlineStr">
        <is>
          <t>YTD real</t>
        </is>
      </c>
      <c r="B28" s="49" t="n">
        <v>1400088</v>
      </c>
      <c r="C28" s="27" t="n">
        <v>1120898</v>
      </c>
      <c r="D28" s="28">
        <f>IF(OR(B28="",C28=""),"",IF(C28=0,"n.a.",B28/C28-1))</f>
        <v/>
      </c>
      <c r="E28" s="57">
        <f>SUMIFS(F7:F18,A7:A18,"&lt;="&amp;$B$4)</f>
        <v/>
      </c>
      <c r="F28" s="51" t="n">
        <v>95505</v>
      </c>
      <c r="G28" s="28">
        <f>IF(OR(E28="",F28=""),"",IF(F28=0,"n.a.",E28/F28-1))</f>
        <v/>
      </c>
      <c r="H28" s="38" t="n">
        <v>0.25</v>
      </c>
      <c r="I28" s="38" t="n">
        <v>0.24</v>
      </c>
      <c r="J28" s="39">
        <f>IF(OR(H28="",I28=""),"",(H28-I28)*100)</f>
        <v/>
      </c>
    </row>
    <row r="29">
      <c r="A29" s="26" t="inlineStr">
        <is>
          <t>Forecast resto del año</t>
        </is>
      </c>
      <c r="B29" s="49">
        <f>SUMIFS(E7:E18,A7:A18,"&gt;"&amp;$B$4)</f>
        <v/>
      </c>
      <c r="C29" s="49">
        <f>C30-C28</f>
        <v/>
      </c>
      <c r="D29" s="28">
        <f>IF(OR(B29="",C29=""),"",IF(C29=0,"n.a.",B29/C29-1))</f>
        <v/>
      </c>
      <c r="E29" s="57">
        <f>SUMIFS(F7:F18,A7:A18,"&gt;"&amp;$B$4)</f>
        <v/>
      </c>
      <c r="F29" s="57">
        <f>F30-F28</f>
        <v/>
      </c>
      <c r="G29" s="28">
        <f>IF(OR(E29="",F29=""),"",IF(F29=0,"n.a.",E29/F29-1))</f>
        <v/>
      </c>
      <c r="H29" s="38" t="n"/>
      <c r="I29" s="38" t="n"/>
      <c r="J29" s="39">
        <f>IF(OR(H29="",I29=""),"",(H29-I29)*100)</f>
        <v/>
      </c>
    </row>
    <row r="30">
      <c r="A30" s="26" t="inlineStr">
        <is>
          <t>Cierre año (Real + Fcst)</t>
        </is>
      </c>
      <c r="B30" s="96">
        <f>SUM(E7:E18)</f>
        <v/>
      </c>
      <c r="C30" s="27" t="n">
        <v>1359841</v>
      </c>
      <c r="D30" s="28">
        <f>IF(OR(B30="",C30=""),"",IF(C30=0,"n.a.",B30/C30-1))</f>
        <v/>
      </c>
      <c r="E30" s="57">
        <f>SUM(F7:F18)</f>
        <v/>
      </c>
      <c r="F30" s="51" t="n">
        <v>131135.754</v>
      </c>
      <c r="G30" s="28">
        <f>IF(OR(E30="",F30=""),"",IF(F30=0,"n.a.",E30/F30-1))</f>
        <v/>
      </c>
      <c r="H30" s="38" t="n"/>
      <c r="I30" s="38" t="n"/>
      <c r="J30" s="39">
        <f>IF(OR(H30="",I30=""),"",(H30-I30)*100)</f>
        <v/>
      </c>
    </row>
    <row r="32">
      <c r="A32" s="26" t="inlineStr">
        <is>
          <t>Avance vs cierre año (volumen)</t>
        </is>
      </c>
      <c r="B32" s="28">
        <f>B28/B30</f>
        <v/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061530"/>
    <outlinePr summaryBelow="1" summaryRight="1"/>
    <pageSetUpPr/>
  </sheetPr>
  <dimension ref="A1:L25"/>
  <sheetViews>
    <sheetView showGridLines="0" zoomScaleNormal="100" workbookViewId="0">
      <selection activeCell="K9" sqref="K9"/>
    </sheetView>
  </sheetViews>
  <sheetFormatPr baseColWidth="10" defaultColWidth="8.7109375" defaultRowHeight="15"/>
  <cols>
    <col width="5" customWidth="1" min="1" max="1"/>
    <col width="26" customWidth="1" min="2" max="3"/>
    <col width="12" customWidth="1" min="4" max="4"/>
    <col width="30" customWidth="1" min="5" max="5"/>
    <col width="22" customWidth="1" min="6" max="6"/>
    <col width="11" customWidth="1" min="7" max="7"/>
    <col width="14" customWidth="1" min="8" max="9"/>
    <col width="9" customWidth="1" min="10" max="10"/>
    <col width="12" customWidth="1" min="11" max="11"/>
    <col width="15" customWidth="1" min="12" max="12"/>
  </cols>
  <sheetData>
    <row r="1" ht="18" customHeight="1">
      <c r="A1" s="2" t="inlineStr">
        <is>
          <t>07 · Top Opportunities (pipeline abierto)</t>
        </is>
      </c>
    </row>
    <row r="2">
      <c r="A2" s="24" t="inlineStr">
        <is>
          <t>Top 5 por segmento, automático desde la hoja Pipeline · criterio seleccionable</t>
        </is>
      </c>
    </row>
    <row r="4">
      <c r="A4" s="26" t="inlineStr">
        <is>
          <t>Criterio de orden (cambiar en hoja Pipeline!C4):</t>
        </is>
      </c>
      <c r="E4" s="30">
        <f>Pipeline!C4</f>
        <v/>
      </c>
    </row>
    <row r="6">
      <c r="A6" s="3" t="inlineStr">
        <is>
          <t>Industrial – Top 5 oportunidades abiertas</t>
        </is>
      </c>
    </row>
    <row r="7" ht="30" customHeight="1">
      <c r="A7" s="25" t="inlineStr">
        <is>
          <t>#</t>
        </is>
      </c>
      <c r="B7" s="25" t="inlineStr">
        <is>
          <t>Cliente</t>
        </is>
      </c>
      <c r="C7" s="25" t="inlineStr">
        <is>
          <t>Proyecto</t>
        </is>
      </c>
      <c r="D7" s="25" t="inlineStr">
        <is>
          <t>País</t>
        </is>
      </c>
      <c r="E7" s="25" t="inlineStr">
        <is>
          <t>Portafolio (Type)</t>
        </is>
      </c>
      <c r="F7" s="25" t="inlineStr">
        <is>
          <t>Ejecutivo</t>
        </is>
      </c>
      <c r="G7" s="25" t="inlineStr">
        <is>
          <t>m²</t>
        </is>
      </c>
      <c r="H7" s="25" t="inlineStr">
        <is>
          <t>USD</t>
        </is>
      </c>
      <c r="I7" s="25" t="inlineStr">
        <is>
          <t>Estado</t>
        </is>
      </c>
      <c r="J7" s="25" t="inlineStr">
        <is>
          <t>% Cierre</t>
        </is>
      </c>
      <c r="K7" s="25" t="inlineStr">
        <is>
          <t>Fecha cierre</t>
        </is>
      </c>
      <c r="L7" s="25" t="inlineStr">
        <is>
          <t>Valor ponderado</t>
        </is>
      </c>
    </row>
    <row r="8">
      <c r="A8" s="32" t="n">
        <v>1</v>
      </c>
      <c r="B8" s="30">
        <f>IFERROR(IF(INDEX(Pipeline!$B$7:$B$67,MATCH(LARGE(Pipeline!$M$7:$M$67,1),Pipeline!$M$7:$M$67,0))="","—",INDEX(Pipeline!$B$7:$B$67,MATCH(LARGE(Pipeline!$M$7:$M$67,1),Pipeline!$M$7:$M$67,0))),"")</f>
        <v/>
      </c>
      <c r="C8" s="30">
        <f>IFERROR(IF(INDEX(Pipeline!$C$7:$C$67,MATCH(LARGE(Pipeline!$M$7:$M$67,1),Pipeline!$M$7:$M$67,0))="","—",INDEX(Pipeline!$C$7:$C$67,MATCH(LARGE(Pipeline!$M$7:$M$67,1),Pipeline!$M$7:$M$67,0))),"")</f>
        <v/>
      </c>
      <c r="D8" s="30">
        <f>IFERROR(IF(INDEX(Pipeline!$E$7:$E$67,MATCH(LARGE(Pipeline!$M$7:$M$67,1),Pipeline!$M$7:$M$67,0))="","—",INDEX(Pipeline!$E$7:$E$67,MATCH(LARGE(Pipeline!$M$7:$M$67,1),Pipeline!$M$7:$M$67,0))),"")</f>
        <v/>
      </c>
      <c r="E8" s="30">
        <f>IFERROR(IF(INDEX(Pipeline!$F$7:$F$67,MATCH(LARGE(Pipeline!$M$7:$M$67,1),Pipeline!$M$7:$M$67,0))="","—",INDEX(Pipeline!$F$7:$F$67,MATCH(LARGE(Pipeline!$M$7:$M$67,1),Pipeline!$M$7:$M$67,0))),"")</f>
        <v/>
      </c>
      <c r="F8" s="30">
        <f>IFERROR(IF(INDEX(Pipeline!$D$7:$D$67,MATCH(LARGE(Pipeline!$M$7:$M$67,1),Pipeline!$M$7:$M$67,0))="","—",INDEX(Pipeline!$D$7:$D$67,MATCH(LARGE(Pipeline!$M$7:$M$67,1),Pipeline!$M$7:$M$67,0))),"")</f>
        <v/>
      </c>
      <c r="G8" s="49">
        <f>IFERROR(IF(INDEX(Pipeline!$G$7:$G$67,MATCH(LARGE(Pipeline!$M$7:$M$67,1),Pipeline!$M$7:$M$67,0))="","—",INDEX(Pipeline!$G$7:$G$67,MATCH(LARGE(Pipeline!$M$7:$M$67,1),Pipeline!$M$7:$M$67,0))),"")</f>
        <v/>
      </c>
      <c r="H8" s="58">
        <f>IFERROR(IF(INDEX(Pipeline!$H$7:$H$67,MATCH(LARGE(Pipeline!$M$7:$M$67,1),Pipeline!$M$7:$M$67,0))="","—",INDEX(Pipeline!$H$7:$H$67,MATCH(LARGE(Pipeline!$M$7:$M$67,1),Pipeline!$M$7:$M$67,0))),"")</f>
        <v/>
      </c>
      <c r="I8" s="30">
        <f>IFERROR(IF(INDEX(Pipeline!$I$7:$I$67,MATCH(LARGE(Pipeline!$M$7:$M$67,1),Pipeline!$M$7:$M$67,0))="","—",INDEX(Pipeline!$I$7:$I$67,MATCH(LARGE(Pipeline!$M$7:$M$67,1),Pipeline!$M$7:$M$67,0))),"")</f>
        <v/>
      </c>
      <c r="J8" s="45">
        <f>IFERROR(IF(INDEX(Pipeline!$J$7:$J$67,MATCH(LARGE(Pipeline!$M$7:$M$67,1),Pipeline!$M$7:$M$67,0))="","—",INDEX(Pipeline!$J$7:$J$67,MATCH(LARGE(Pipeline!$M$7:$M$67,1),Pipeline!$M$7:$M$67,0))),"")</f>
        <v/>
      </c>
      <c r="K8" s="59">
        <f>IFERROR(IF(INDEX(Pipeline!$K$7:$K$67,MATCH(LARGE(Pipeline!$M$7:$M$67,1),Pipeline!$M$7:$M$67,0))="","—",INDEX(Pipeline!$K$7:$K$67,MATCH(LARGE(Pipeline!$M$7:$M$67,1),Pipeline!$M$7:$M$67,0))),"")</f>
        <v/>
      </c>
      <c r="L8" s="58">
        <f>IFERROR(IF(INDEX(Pipeline!$L$7:$L$67,MATCH(LARGE(Pipeline!$M$7:$M$67,1),Pipeline!$M$7:$M$67,0))="","—",INDEX(Pipeline!$L$7:$L$67,MATCH(LARGE(Pipeline!$M$7:$M$67,1),Pipeline!$M$7:$M$67,0))),"")</f>
        <v/>
      </c>
    </row>
    <row r="9">
      <c r="A9" s="32" t="n">
        <v>2</v>
      </c>
      <c r="B9" s="30">
        <f>IFERROR(IF(INDEX(Pipeline!$B$7:$B$67,MATCH(LARGE(Pipeline!$M$7:$M$67,2),Pipeline!$M$7:$M$67,0))="","—",INDEX(Pipeline!$B$7:$B$67,MATCH(LARGE(Pipeline!$M$7:$M$67,2),Pipeline!$M$7:$M$67,0))),"")</f>
        <v/>
      </c>
      <c r="C9" s="30">
        <f>IFERROR(IF(INDEX(Pipeline!$C$7:$C$67,MATCH(LARGE(Pipeline!$M$7:$M$67,2),Pipeline!$M$7:$M$67,0))="","—",INDEX(Pipeline!$C$7:$C$67,MATCH(LARGE(Pipeline!$M$7:$M$67,2),Pipeline!$M$7:$M$67,0))),"")</f>
        <v/>
      </c>
      <c r="D9" s="30">
        <f>IFERROR(IF(INDEX(Pipeline!$E$7:$E$67,MATCH(LARGE(Pipeline!$M$7:$M$67,2),Pipeline!$M$7:$M$67,0))="","—",INDEX(Pipeline!$E$7:$E$67,MATCH(LARGE(Pipeline!$M$7:$M$67,2),Pipeline!$M$7:$M$67,0))),"")</f>
        <v/>
      </c>
      <c r="E9" s="30">
        <f>IFERROR(IF(INDEX(Pipeline!$F$7:$F$67,MATCH(LARGE(Pipeline!$M$7:$M$67,2),Pipeline!$M$7:$M$67,0))="","—",INDEX(Pipeline!$F$7:$F$67,MATCH(LARGE(Pipeline!$M$7:$M$67,2),Pipeline!$M$7:$M$67,0))),"")</f>
        <v/>
      </c>
      <c r="F9" s="30">
        <f>IFERROR(IF(INDEX(Pipeline!$D$7:$D$67,MATCH(LARGE(Pipeline!$M$7:$M$67,2),Pipeline!$M$7:$M$67,0))="","—",INDEX(Pipeline!$D$7:$D$67,MATCH(LARGE(Pipeline!$M$7:$M$67,2),Pipeline!$M$7:$M$67,0))),"")</f>
        <v/>
      </c>
      <c r="G9" s="49" t="n">
        <v>61000</v>
      </c>
      <c r="H9" s="58" t="n">
        <v>1694102</v>
      </c>
      <c r="I9" s="30">
        <f>IFERROR(IF(INDEX(Pipeline!$I$7:$I$67,MATCH(LARGE(Pipeline!$M$7:$M$67,2),Pipeline!$M$7:$M$67,0))="","—",INDEX(Pipeline!$I$7:$I$67,MATCH(LARGE(Pipeline!$M$7:$M$67,2),Pipeline!$M$7:$M$67,0))),"")</f>
        <v/>
      </c>
      <c r="J9" s="45">
        <f>IFERROR(IF(INDEX(Pipeline!$J$7:$J$67,MATCH(LARGE(Pipeline!$M$7:$M$67,2),Pipeline!$M$7:$M$67,0))="","—",INDEX(Pipeline!$J$7:$J$67,MATCH(LARGE(Pipeline!$M$7:$M$67,2),Pipeline!$M$7:$M$67,0))),"")</f>
        <v/>
      </c>
      <c r="K9" s="59">
        <f>IFERROR(IF(INDEX(Pipeline!$K$7:$K$67,MATCH(LARGE(Pipeline!$M$7:$M$67,2),Pipeline!$M$7:$M$67,0))="","—",INDEX(Pipeline!$K$7:$K$67,MATCH(LARGE(Pipeline!$M$7:$M$67,2),Pipeline!$M$7:$M$67,0))),"")</f>
        <v/>
      </c>
      <c r="L9" s="58">
        <f>IFERROR(IF(INDEX(Pipeline!$L$7:$L$67,MATCH(LARGE(Pipeline!$M$7:$M$67,2),Pipeline!$M$7:$M$67,0))="","—",INDEX(Pipeline!$L$7:$L$67,MATCH(LARGE(Pipeline!$M$7:$M$67,2),Pipeline!$M$7:$M$67,0))),"")</f>
        <v/>
      </c>
    </row>
    <row r="10">
      <c r="A10" s="32" t="n">
        <v>3</v>
      </c>
      <c r="B10" s="30">
        <f>IFERROR(IF(INDEX(Pipeline!$B$7:$B$67,MATCH(LARGE(Pipeline!$M$7:$M$67,3),Pipeline!$M$7:$M$67,0))="","—",INDEX(Pipeline!$B$7:$B$67,MATCH(LARGE(Pipeline!$M$7:$M$67,3),Pipeline!$M$7:$M$67,0))),"")</f>
        <v/>
      </c>
      <c r="C10" s="30">
        <f>IFERROR(IF(INDEX(Pipeline!$C$7:$C$67,MATCH(LARGE(Pipeline!$M$7:$M$67,3),Pipeline!$M$7:$M$67,0))="","—",INDEX(Pipeline!$C$7:$C$67,MATCH(LARGE(Pipeline!$M$7:$M$67,3),Pipeline!$M$7:$M$67,0))),"")</f>
        <v/>
      </c>
      <c r="D10" s="30">
        <f>IFERROR(IF(INDEX(Pipeline!$E$7:$E$67,MATCH(LARGE(Pipeline!$M$7:$M$67,3),Pipeline!$M$7:$M$67,0))="","—",INDEX(Pipeline!$E$7:$E$67,MATCH(LARGE(Pipeline!$M$7:$M$67,3),Pipeline!$M$7:$M$67,0))),"")</f>
        <v/>
      </c>
      <c r="E10" s="30">
        <f>IFERROR(IF(INDEX(Pipeline!$F$7:$F$67,MATCH(LARGE(Pipeline!$M$7:$M$67,3),Pipeline!$M$7:$M$67,0))="","—",INDEX(Pipeline!$F$7:$F$67,MATCH(LARGE(Pipeline!$M$7:$M$67,3),Pipeline!$M$7:$M$67,0))),"")</f>
        <v/>
      </c>
      <c r="F10" s="30">
        <f>IFERROR(IF(INDEX(Pipeline!$D$7:$D$67,MATCH(LARGE(Pipeline!$M$7:$M$67,3),Pipeline!$M$7:$M$67,0))="","—",INDEX(Pipeline!$D$7:$D$67,MATCH(LARGE(Pipeline!$M$7:$M$67,3),Pipeline!$M$7:$M$67,0))),"")</f>
        <v/>
      </c>
      <c r="G10" s="49">
        <f>IFERROR(IF(INDEX(Pipeline!$G$7:$G$67,MATCH(LARGE(Pipeline!$M$7:$M$67,3),Pipeline!$M$7:$M$67,0))="","—",INDEX(Pipeline!$G$7:$G$67,MATCH(LARGE(Pipeline!$M$7:$M$67,3),Pipeline!$M$7:$M$67,0))),"")</f>
        <v/>
      </c>
      <c r="H10" s="58">
        <f>IFERROR(IF(INDEX(Pipeline!$H$7:$H$67,MATCH(LARGE(Pipeline!$M$7:$M$67,3),Pipeline!$M$7:$M$67,0))="","—",INDEX(Pipeline!$H$7:$H$67,MATCH(LARGE(Pipeline!$M$7:$M$67,3),Pipeline!$M$7:$M$67,0))),"")</f>
        <v/>
      </c>
      <c r="I10" s="30">
        <f>IFERROR(IF(INDEX(Pipeline!$I$7:$I$67,MATCH(LARGE(Pipeline!$M$7:$M$67,3),Pipeline!$M$7:$M$67,0))="","—",INDEX(Pipeline!$I$7:$I$67,MATCH(LARGE(Pipeline!$M$7:$M$67,3),Pipeline!$M$7:$M$67,0))),"")</f>
        <v/>
      </c>
      <c r="J10" s="45">
        <f>IFERROR(IF(INDEX(Pipeline!$J$7:$J$67,MATCH(LARGE(Pipeline!$M$7:$M$67,3),Pipeline!$M$7:$M$67,0))="","—",INDEX(Pipeline!$J$7:$J$67,MATCH(LARGE(Pipeline!$M$7:$M$67,3),Pipeline!$M$7:$M$67,0))),"")</f>
        <v/>
      </c>
      <c r="K10" s="59">
        <f>IFERROR(IF(INDEX(Pipeline!$K$7:$K$67,MATCH(LARGE(Pipeline!$M$7:$M$67,3),Pipeline!$M$7:$M$67,0))="","—",INDEX(Pipeline!$K$7:$K$67,MATCH(LARGE(Pipeline!$M$7:$M$67,3),Pipeline!$M$7:$M$67,0))),"")</f>
        <v/>
      </c>
      <c r="L10" s="58">
        <f>IFERROR(IF(INDEX(Pipeline!$L$7:$L$67,MATCH(LARGE(Pipeline!$M$7:$M$67,3),Pipeline!$M$7:$M$67,0))="","—",INDEX(Pipeline!$L$7:$L$67,MATCH(LARGE(Pipeline!$M$7:$M$67,3),Pipeline!$M$7:$M$67,0))),"")</f>
        <v/>
      </c>
    </row>
    <row r="11">
      <c r="A11" s="32" t="n">
        <v>4</v>
      </c>
      <c r="B11" s="30">
        <f>IFERROR(IF(INDEX(Pipeline!$B$7:$B$67,MATCH(LARGE(Pipeline!$M$7:$M$67,4),Pipeline!$M$7:$M$67,0))="","—",INDEX(Pipeline!$B$7:$B$67,MATCH(LARGE(Pipeline!$M$7:$M$67,4),Pipeline!$M$7:$M$67,0))),"")</f>
        <v/>
      </c>
      <c r="C11" s="30">
        <f>IFERROR(IF(INDEX(Pipeline!$C$7:$C$67,MATCH(LARGE(Pipeline!$M$7:$M$67,4),Pipeline!$M$7:$M$67,0))="","—",INDEX(Pipeline!$C$7:$C$67,MATCH(LARGE(Pipeline!$M$7:$M$67,4),Pipeline!$M$7:$M$67,0))),"")</f>
        <v/>
      </c>
      <c r="D11" s="30">
        <f>IFERROR(IF(INDEX(Pipeline!$E$7:$E$67,MATCH(LARGE(Pipeline!$M$7:$M$67,4),Pipeline!$M$7:$M$67,0))="","—",INDEX(Pipeline!$E$7:$E$67,MATCH(LARGE(Pipeline!$M$7:$M$67,4),Pipeline!$M$7:$M$67,0))),"")</f>
        <v/>
      </c>
      <c r="E11" s="30">
        <f>IFERROR(IF(INDEX(Pipeline!$F$7:$F$67,MATCH(LARGE(Pipeline!$M$7:$M$67,4),Pipeline!$M$7:$M$67,0))="","—",INDEX(Pipeline!$F$7:$F$67,MATCH(LARGE(Pipeline!$M$7:$M$67,4),Pipeline!$M$7:$M$67,0))),"")</f>
        <v/>
      </c>
      <c r="F11" s="30">
        <f>IFERROR(IF(INDEX(Pipeline!$D$7:$D$67,MATCH(LARGE(Pipeline!$M$7:$M$67,4),Pipeline!$M$7:$M$67,0))="","—",INDEX(Pipeline!$D$7:$D$67,MATCH(LARGE(Pipeline!$M$7:$M$67,4),Pipeline!$M$7:$M$67,0))),"")</f>
        <v/>
      </c>
      <c r="G11" s="49">
        <f>IFERROR(IF(INDEX(Pipeline!$G$7:$G$67,MATCH(LARGE(Pipeline!$M$7:$M$67,4),Pipeline!$M$7:$M$67,0))="","—",INDEX(Pipeline!$G$7:$G$67,MATCH(LARGE(Pipeline!$M$7:$M$67,4),Pipeline!$M$7:$M$67,0))),"")</f>
        <v/>
      </c>
      <c r="H11" s="58">
        <f>IFERROR(IF(INDEX(Pipeline!$H$7:$H$67,MATCH(LARGE(Pipeline!$M$7:$M$67,4),Pipeline!$M$7:$M$67,0))="","—",INDEX(Pipeline!$H$7:$H$67,MATCH(LARGE(Pipeline!$M$7:$M$67,4),Pipeline!$M$7:$M$67,0))),"")</f>
        <v/>
      </c>
      <c r="I11" s="30">
        <f>IFERROR(IF(INDEX(Pipeline!$I$7:$I$67,MATCH(LARGE(Pipeline!$M$7:$M$67,4),Pipeline!$M$7:$M$67,0))="","—",INDEX(Pipeline!$I$7:$I$67,MATCH(LARGE(Pipeline!$M$7:$M$67,4),Pipeline!$M$7:$M$67,0))),"")</f>
        <v/>
      </c>
      <c r="J11" s="45">
        <f>IFERROR(IF(INDEX(Pipeline!$J$7:$J$67,MATCH(LARGE(Pipeline!$M$7:$M$67,4),Pipeline!$M$7:$M$67,0))="","—",INDEX(Pipeline!$J$7:$J$67,MATCH(LARGE(Pipeline!$M$7:$M$67,4),Pipeline!$M$7:$M$67,0))),"")</f>
        <v/>
      </c>
      <c r="K11" s="59">
        <f>IFERROR(IF(INDEX(Pipeline!$K$7:$K$67,MATCH(LARGE(Pipeline!$M$7:$M$67,4),Pipeline!$M$7:$M$67,0))="","—",INDEX(Pipeline!$K$7:$K$67,MATCH(LARGE(Pipeline!$M$7:$M$67,4),Pipeline!$M$7:$M$67,0))),"")</f>
        <v/>
      </c>
      <c r="L11" s="58">
        <f>IFERROR(IF(INDEX(Pipeline!$L$7:$L$67,MATCH(LARGE(Pipeline!$M$7:$M$67,4),Pipeline!$M$7:$M$67,0))="","—",INDEX(Pipeline!$L$7:$L$67,MATCH(LARGE(Pipeline!$M$7:$M$67,4),Pipeline!$M$7:$M$67,0))),"")</f>
        <v/>
      </c>
    </row>
    <row r="12">
      <c r="A12" s="32" t="n">
        <v>5</v>
      </c>
      <c r="B12" s="30">
        <f>IFERROR(IF(INDEX(Pipeline!$B$7:$B$67,MATCH(LARGE(Pipeline!$M$7:$M$67,5),Pipeline!$M$7:$M$67,0))="","—",INDEX(Pipeline!$B$7:$B$67,MATCH(LARGE(Pipeline!$M$7:$M$67,5),Pipeline!$M$7:$M$67,0))),"")</f>
        <v/>
      </c>
      <c r="C12" s="30">
        <f>IFERROR(IF(INDEX(Pipeline!$C$7:$C$67,MATCH(LARGE(Pipeline!$M$7:$M$67,5),Pipeline!$M$7:$M$67,0))="","—",INDEX(Pipeline!$C$7:$C$67,MATCH(LARGE(Pipeline!$M$7:$M$67,5),Pipeline!$M$7:$M$67,0))),"")</f>
        <v/>
      </c>
      <c r="D12" s="30">
        <f>IFERROR(IF(INDEX(Pipeline!$E$7:$E$67,MATCH(LARGE(Pipeline!$M$7:$M$67,5),Pipeline!$M$7:$M$67,0))="","—",INDEX(Pipeline!$E$7:$E$67,MATCH(LARGE(Pipeline!$M$7:$M$67,5),Pipeline!$M$7:$M$67,0))),"")</f>
        <v/>
      </c>
      <c r="E12" s="30">
        <f>IFERROR(IF(INDEX(Pipeline!$F$7:$F$67,MATCH(LARGE(Pipeline!$M$7:$M$67,5),Pipeline!$M$7:$M$67,0))="","—",INDEX(Pipeline!$F$7:$F$67,MATCH(LARGE(Pipeline!$M$7:$M$67,5),Pipeline!$M$7:$M$67,0))),"")</f>
        <v/>
      </c>
      <c r="F12" s="30">
        <f>IFERROR(IF(INDEX(Pipeline!$D$7:$D$67,MATCH(LARGE(Pipeline!$M$7:$M$67,5),Pipeline!$M$7:$M$67,0))="","—",INDEX(Pipeline!$D$7:$D$67,MATCH(LARGE(Pipeline!$M$7:$M$67,5),Pipeline!$M$7:$M$67,0))),"")</f>
        <v/>
      </c>
      <c r="G12" s="49">
        <f>IFERROR(IF(INDEX(Pipeline!$G$7:$G$67,MATCH(LARGE(Pipeline!$M$7:$M$67,5),Pipeline!$M$7:$M$67,0))="","—",INDEX(Pipeline!$G$7:$G$67,MATCH(LARGE(Pipeline!$M$7:$M$67,5),Pipeline!$M$7:$M$67,0))),"")</f>
        <v/>
      </c>
      <c r="H12" s="58">
        <f>IFERROR(IF(INDEX(Pipeline!$H$7:$H$67,MATCH(LARGE(Pipeline!$M$7:$M$67,5),Pipeline!$M$7:$M$67,0))="","—",INDEX(Pipeline!$H$7:$H$67,MATCH(LARGE(Pipeline!$M$7:$M$67,5),Pipeline!$M$7:$M$67,0))),"")</f>
        <v/>
      </c>
      <c r="I12" s="30">
        <f>IFERROR(IF(INDEX(Pipeline!$I$7:$I$67,MATCH(LARGE(Pipeline!$M$7:$M$67,5),Pipeline!$M$7:$M$67,0))="","—",INDEX(Pipeline!$I$7:$I$67,MATCH(LARGE(Pipeline!$M$7:$M$67,5),Pipeline!$M$7:$M$67,0))),"")</f>
        <v/>
      </c>
      <c r="J12" s="45">
        <f>IFERROR(IF(INDEX(Pipeline!$J$7:$J$67,MATCH(LARGE(Pipeline!$M$7:$M$67,5),Pipeline!$M$7:$M$67,0))="","—",INDEX(Pipeline!$J$7:$J$67,MATCH(LARGE(Pipeline!$M$7:$M$67,5),Pipeline!$M$7:$M$67,0))),"")</f>
        <v/>
      </c>
      <c r="K12" s="59">
        <f>IFERROR(IF(INDEX(Pipeline!$K$7:$K$67,MATCH(LARGE(Pipeline!$M$7:$M$67,5),Pipeline!$M$7:$M$67,0))="","—",INDEX(Pipeline!$K$7:$K$67,MATCH(LARGE(Pipeline!$M$7:$M$67,5),Pipeline!$M$7:$M$67,0))),"")</f>
        <v/>
      </c>
      <c r="L12" s="58">
        <f>IFERROR(IF(INDEX(Pipeline!$L$7:$L$67,MATCH(LARGE(Pipeline!$M$7:$M$67,5),Pipeline!$M$7:$M$67,0))="","—",INDEX(Pipeline!$L$7:$L$67,MATCH(LARGE(Pipeline!$M$7:$M$67,5),Pipeline!$M$7:$M$67,0))),"")</f>
        <v/>
      </c>
    </row>
    <row r="13">
      <c r="B13" s="33" t="inlineStr">
        <is>
          <t>Total Top 5</t>
        </is>
      </c>
      <c r="G13" s="34">
        <f>SUM(G8:G12)</f>
        <v/>
      </c>
      <c r="H13" s="60">
        <f>SUM(H8:H12)</f>
        <v/>
      </c>
    </row>
    <row r="15">
      <c r="A15" s="3" t="inlineStr">
        <is>
          <t>Distribución – Top 5 oportunidades abiertas</t>
        </is>
      </c>
    </row>
    <row r="16" ht="30" customHeight="1">
      <c r="A16" s="25" t="inlineStr">
        <is>
          <t>#</t>
        </is>
      </c>
      <c r="B16" s="25" t="inlineStr">
        <is>
          <t>Cliente</t>
        </is>
      </c>
      <c r="C16" s="25" t="inlineStr">
        <is>
          <t>Proyecto</t>
        </is>
      </c>
      <c r="D16" s="25" t="inlineStr">
        <is>
          <t>País</t>
        </is>
      </c>
      <c r="E16" s="25" t="inlineStr">
        <is>
          <t>Portafolio (Type)</t>
        </is>
      </c>
      <c r="F16" s="25" t="inlineStr">
        <is>
          <t>Ejecutivo</t>
        </is>
      </c>
      <c r="G16" s="25" t="inlineStr">
        <is>
          <t>m²</t>
        </is>
      </c>
      <c r="H16" s="25" t="inlineStr">
        <is>
          <t>USD</t>
        </is>
      </c>
      <c r="I16" s="25" t="inlineStr">
        <is>
          <t>Estado</t>
        </is>
      </c>
      <c r="J16" s="25" t="inlineStr">
        <is>
          <t>% Cierre</t>
        </is>
      </c>
      <c r="K16" s="25" t="inlineStr">
        <is>
          <t>Fecha cierre</t>
        </is>
      </c>
      <c r="L16" s="25" t="inlineStr">
        <is>
          <t>Valor ponderado</t>
        </is>
      </c>
    </row>
    <row r="17">
      <c r="A17" s="32" t="n">
        <v>1</v>
      </c>
      <c r="B17" s="30">
        <f>IFERROR(IF(INDEX(Pipeline!$B$7:$B$67,MATCH(LARGE(Pipeline!$N$7:$N$67,1),Pipeline!$N$7:$N$67,0))="","—",INDEX(Pipeline!$B$7:$B$67,MATCH(LARGE(Pipeline!$N$7:$N$67,1),Pipeline!$N$7:$N$67,0))),"")</f>
        <v/>
      </c>
      <c r="C17" s="30">
        <f>IFERROR(IF(INDEX(Pipeline!$C$7:$C$67,MATCH(LARGE(Pipeline!$N$7:$N$67,1),Pipeline!$N$7:$N$67,0))="","—",INDEX(Pipeline!$C$7:$C$67,MATCH(LARGE(Pipeline!$N$7:$N$67,1),Pipeline!$N$7:$N$67,0))),"")</f>
        <v/>
      </c>
      <c r="D17" s="30">
        <f>IFERROR(IF(INDEX(Pipeline!$E$7:$E$67,MATCH(LARGE(Pipeline!$N$7:$N$67,1),Pipeline!$N$7:$N$67,0))="","—",INDEX(Pipeline!$E$7:$E$67,MATCH(LARGE(Pipeline!$N$7:$N$67,1),Pipeline!$N$7:$N$67,0))),"")</f>
        <v/>
      </c>
      <c r="E17" s="30">
        <f>IFERROR(IF(INDEX(Pipeline!$F$7:$F$67,MATCH(LARGE(Pipeline!$N$7:$N$67,1),Pipeline!$N$7:$N$67,0))="","—",INDEX(Pipeline!$F$7:$F$67,MATCH(LARGE(Pipeline!$N$7:$N$67,1),Pipeline!$N$7:$N$67,0))),"")</f>
        <v/>
      </c>
      <c r="F17" s="30">
        <f>IFERROR(IF(INDEX(Pipeline!$D$7:$D$67,MATCH(LARGE(Pipeline!$N$7:$N$67,1),Pipeline!$N$7:$N$67,0))="","—",INDEX(Pipeline!$D$7:$D$67,MATCH(LARGE(Pipeline!$N$7:$N$67,1),Pipeline!$N$7:$N$67,0))),"")</f>
        <v/>
      </c>
      <c r="G17" s="49">
        <f>IFERROR(IF(INDEX(Pipeline!$G$7:$G$67,MATCH(LARGE(Pipeline!$N$7:$N$67,1),Pipeline!$N$7:$N$67,0))="","—",INDEX(Pipeline!$G$7:$G$67,MATCH(LARGE(Pipeline!$N$7:$N$67,1),Pipeline!$N$7:$N$67,0))),"")</f>
        <v/>
      </c>
      <c r="H17" s="58">
        <f>IFERROR(IF(INDEX(Pipeline!$H$7:$H$67,MATCH(LARGE(Pipeline!$N$7:$N$67,1),Pipeline!$N$7:$N$67,0))="","—",INDEX(Pipeline!$H$7:$H$67,MATCH(LARGE(Pipeline!$N$7:$N$67,1),Pipeline!$N$7:$N$67,0))),"")</f>
        <v/>
      </c>
      <c r="I17" s="30" t="inlineStr">
        <is>
          <t>Closed</t>
        </is>
      </c>
      <c r="J17" s="45" t="n">
        <v>1</v>
      </c>
      <c r="K17" s="59">
        <f>IFERROR(IF(INDEX(Pipeline!$K$7:$K$67,MATCH(LARGE(Pipeline!$N$7:$N$67,1),Pipeline!$N$7:$N$67,0))="","—",INDEX(Pipeline!$K$7:$K$67,MATCH(LARGE(Pipeline!$N$7:$N$67,1),Pipeline!$N$7:$N$67,0))),"")</f>
        <v/>
      </c>
      <c r="L17" s="58">
        <f>IFERROR(IF(INDEX(Pipeline!$L$7:$L$67,MATCH(LARGE(Pipeline!$N$7:$N$67,1),Pipeline!$N$7:$N$67,0))="","—",INDEX(Pipeline!$L$7:$L$67,MATCH(LARGE(Pipeline!$N$7:$N$67,1),Pipeline!$N$7:$N$67,0))),"")</f>
        <v/>
      </c>
    </row>
    <row r="18">
      <c r="A18" s="32" t="n">
        <v>2</v>
      </c>
      <c r="B18" s="30">
        <f>IFERROR(IF(INDEX(Pipeline!$B$7:$B$67,MATCH(LARGE(Pipeline!$N$7:$N$67,2),Pipeline!$N$7:$N$67,0))="","—",INDEX(Pipeline!$B$7:$B$67,MATCH(LARGE(Pipeline!$N$7:$N$67,2),Pipeline!$N$7:$N$67,0))),"")</f>
        <v/>
      </c>
      <c r="C18" s="30">
        <f>IFERROR(IF(INDEX(Pipeline!$C$7:$C$67,MATCH(LARGE(Pipeline!$N$7:$N$67,2),Pipeline!$N$7:$N$67,0))="","—",INDEX(Pipeline!$C$7:$C$67,MATCH(LARGE(Pipeline!$N$7:$N$67,2),Pipeline!$N$7:$N$67,0))),"")</f>
        <v/>
      </c>
      <c r="D18" s="30">
        <f>IFERROR(IF(INDEX(Pipeline!$E$7:$E$67,MATCH(LARGE(Pipeline!$N$7:$N$67,2),Pipeline!$N$7:$N$67,0))="","—",INDEX(Pipeline!$E$7:$E$67,MATCH(LARGE(Pipeline!$N$7:$N$67,2),Pipeline!$N$7:$N$67,0))),"")</f>
        <v/>
      </c>
      <c r="E18" s="30">
        <f>IFERROR(IF(INDEX(Pipeline!$F$7:$F$67,MATCH(LARGE(Pipeline!$N$7:$N$67,2),Pipeline!$N$7:$N$67,0))="","—",INDEX(Pipeline!$F$7:$F$67,MATCH(LARGE(Pipeline!$N$7:$N$67,2),Pipeline!$N$7:$N$67,0))),"")</f>
        <v/>
      </c>
      <c r="F18" s="30">
        <f>IFERROR(IF(INDEX(Pipeline!$D$7:$D$67,MATCH(LARGE(Pipeline!$N$7:$N$67,2),Pipeline!$N$7:$N$67,0))="","—",INDEX(Pipeline!$D$7:$D$67,MATCH(LARGE(Pipeline!$N$7:$N$67,2),Pipeline!$N$7:$N$67,0))),"")</f>
        <v/>
      </c>
      <c r="G18" s="49">
        <f>IFERROR(IF(INDEX(Pipeline!$G$7:$G$67,MATCH(LARGE(Pipeline!$N$7:$N$67,2),Pipeline!$N$7:$N$67,0))="","—",INDEX(Pipeline!$G$7:$G$67,MATCH(LARGE(Pipeline!$N$7:$N$67,2),Pipeline!$N$7:$N$67,0))),"")</f>
        <v/>
      </c>
      <c r="H18" s="58">
        <f>IFERROR(IF(INDEX(Pipeline!$H$7:$H$67,MATCH(LARGE(Pipeline!$N$7:$N$67,2),Pipeline!$N$7:$N$67,0))="","—",INDEX(Pipeline!$H$7:$H$67,MATCH(LARGE(Pipeline!$N$7:$N$67,2),Pipeline!$N$7:$N$67,0))),"")</f>
        <v/>
      </c>
      <c r="I18" s="30">
        <f>IFERROR(IF(INDEX(Pipeline!$I$7:$I$67,MATCH(LARGE(Pipeline!$N$7:$N$67,2),Pipeline!$N$7:$N$67,0))="","—",INDEX(Pipeline!$I$7:$I$67,MATCH(LARGE(Pipeline!$N$7:$N$67,2),Pipeline!$N$7:$N$67,0))),"")</f>
        <v/>
      </c>
      <c r="J18" s="45">
        <f>IFERROR(IF(INDEX(Pipeline!$J$7:$J$67,MATCH(LARGE(Pipeline!$N$7:$N$67,2),Pipeline!$N$7:$N$67,0))="","—",INDEX(Pipeline!$J$7:$J$67,MATCH(LARGE(Pipeline!$N$7:$N$67,2),Pipeline!$N$7:$N$67,0))),"")</f>
        <v/>
      </c>
      <c r="K18" s="59">
        <f>IFERROR(IF(INDEX(Pipeline!$K$7:$K$67,MATCH(LARGE(Pipeline!$N$7:$N$67,2),Pipeline!$N$7:$N$67,0))="","—",INDEX(Pipeline!$K$7:$K$67,MATCH(LARGE(Pipeline!$N$7:$N$67,2),Pipeline!$N$7:$N$67,0))),"")</f>
        <v/>
      </c>
      <c r="L18" s="58">
        <f>IFERROR(IF(INDEX(Pipeline!$L$7:$L$67,MATCH(LARGE(Pipeline!$N$7:$N$67,2),Pipeline!$N$7:$N$67,0))="","—",INDEX(Pipeline!$L$7:$L$67,MATCH(LARGE(Pipeline!$N$7:$N$67,2),Pipeline!$N$7:$N$67,0))),"")</f>
        <v/>
      </c>
    </row>
    <row r="19">
      <c r="A19" s="32" t="n">
        <v>3</v>
      </c>
      <c r="B19" s="30">
        <f>IFERROR(IF(INDEX(Pipeline!$B$7:$B$67,MATCH(LARGE(Pipeline!$N$7:$N$67,3),Pipeline!$N$7:$N$67,0))="","—",INDEX(Pipeline!$B$7:$B$67,MATCH(LARGE(Pipeline!$N$7:$N$67,3),Pipeline!$N$7:$N$67,0))),"")</f>
        <v/>
      </c>
      <c r="C19" s="30">
        <f>IFERROR(IF(INDEX(Pipeline!$C$7:$C$67,MATCH(LARGE(Pipeline!$N$7:$N$67,3),Pipeline!$N$7:$N$67,0))="","—",INDEX(Pipeline!$C$7:$C$67,MATCH(LARGE(Pipeline!$N$7:$N$67,3),Pipeline!$N$7:$N$67,0))),"")</f>
        <v/>
      </c>
      <c r="D19" s="30">
        <f>IFERROR(IF(INDEX(Pipeline!$E$7:$E$67,MATCH(LARGE(Pipeline!$N$7:$N$67,3),Pipeline!$N$7:$N$67,0))="","—",INDEX(Pipeline!$E$7:$E$67,MATCH(LARGE(Pipeline!$N$7:$N$67,3),Pipeline!$N$7:$N$67,0))),"")</f>
        <v/>
      </c>
      <c r="E19" s="30">
        <f>IFERROR(IF(INDEX(Pipeline!$F$7:$F$67,MATCH(LARGE(Pipeline!$N$7:$N$67,3),Pipeline!$N$7:$N$67,0))="","—",INDEX(Pipeline!$F$7:$F$67,MATCH(LARGE(Pipeline!$N$7:$N$67,3),Pipeline!$N$7:$N$67,0))),"")</f>
        <v/>
      </c>
      <c r="F19" s="30">
        <f>IFERROR(IF(INDEX(Pipeline!$D$7:$D$67,MATCH(LARGE(Pipeline!$N$7:$N$67,3),Pipeline!$N$7:$N$67,0))="","—",INDEX(Pipeline!$D$7:$D$67,MATCH(LARGE(Pipeline!$N$7:$N$67,3),Pipeline!$N$7:$N$67,0))),"")</f>
        <v/>
      </c>
      <c r="G19" s="49">
        <f>IFERROR(IF(INDEX(Pipeline!$G$7:$G$67,MATCH(LARGE(Pipeline!$N$7:$N$67,3),Pipeline!$N$7:$N$67,0))="","—",INDEX(Pipeline!$G$7:$G$67,MATCH(LARGE(Pipeline!$N$7:$N$67,3),Pipeline!$N$7:$N$67,0))),"")</f>
        <v/>
      </c>
      <c r="H19" s="58">
        <f>IFERROR(IF(INDEX(Pipeline!$H$7:$H$67,MATCH(LARGE(Pipeline!$N$7:$N$67,3),Pipeline!$N$7:$N$67,0))="","—",INDEX(Pipeline!$H$7:$H$67,MATCH(LARGE(Pipeline!$N$7:$N$67,3),Pipeline!$N$7:$N$67,0))),"")</f>
        <v/>
      </c>
      <c r="I19" s="30">
        <f>IFERROR(IF(INDEX(Pipeline!$I$7:$I$67,MATCH(LARGE(Pipeline!$N$7:$N$67,3),Pipeline!$N$7:$N$67,0))="","—",INDEX(Pipeline!$I$7:$I$67,MATCH(LARGE(Pipeline!$N$7:$N$67,3),Pipeline!$N$7:$N$67,0))),"")</f>
        <v/>
      </c>
      <c r="J19" s="45">
        <f>IFERROR(IF(INDEX(Pipeline!$J$7:$J$67,MATCH(LARGE(Pipeline!$N$7:$N$67,3),Pipeline!$N$7:$N$67,0))="","—",INDEX(Pipeline!$J$7:$J$67,MATCH(LARGE(Pipeline!$N$7:$N$67,3),Pipeline!$N$7:$N$67,0))),"")</f>
        <v/>
      </c>
      <c r="K19" s="59">
        <f>IFERROR(IF(INDEX(Pipeline!$K$7:$K$67,MATCH(LARGE(Pipeline!$N$7:$N$67,3),Pipeline!$N$7:$N$67,0))="","—",INDEX(Pipeline!$K$7:$K$67,MATCH(LARGE(Pipeline!$N$7:$N$67,3),Pipeline!$N$7:$N$67,0))),"")</f>
        <v/>
      </c>
      <c r="L19" s="58">
        <f>IFERROR(IF(INDEX(Pipeline!$L$7:$L$67,MATCH(LARGE(Pipeline!$N$7:$N$67,3),Pipeline!$N$7:$N$67,0))="","—",INDEX(Pipeline!$L$7:$L$67,MATCH(LARGE(Pipeline!$N$7:$N$67,3),Pipeline!$N$7:$N$67,0))),"")</f>
        <v/>
      </c>
    </row>
    <row r="20">
      <c r="A20" s="32" t="n">
        <v>4</v>
      </c>
      <c r="B20" s="30">
        <f>IFERROR(IF(INDEX(Pipeline!$B$7:$B$67,MATCH(LARGE(Pipeline!$N$7:$N$67,4),Pipeline!$N$7:$N$67,0))="","—",INDEX(Pipeline!$B$7:$B$67,MATCH(LARGE(Pipeline!$N$7:$N$67,4),Pipeline!$N$7:$N$67,0))),"")</f>
        <v/>
      </c>
      <c r="C20" s="30">
        <f>IFERROR(IF(INDEX(Pipeline!$C$7:$C$67,MATCH(LARGE(Pipeline!$N$7:$N$67,4),Pipeline!$N$7:$N$67,0))="","—",INDEX(Pipeline!$C$7:$C$67,MATCH(LARGE(Pipeline!$N$7:$N$67,4),Pipeline!$N$7:$N$67,0))),"")</f>
        <v/>
      </c>
      <c r="D20" s="30">
        <f>IFERROR(IF(INDEX(Pipeline!$E$7:$E$67,MATCH(LARGE(Pipeline!$N$7:$N$67,4),Pipeline!$N$7:$N$67,0))="","—",INDEX(Pipeline!$E$7:$E$67,MATCH(LARGE(Pipeline!$N$7:$N$67,4),Pipeline!$N$7:$N$67,0))),"")</f>
        <v/>
      </c>
      <c r="E20" s="30">
        <f>IFERROR(IF(INDEX(Pipeline!$F$7:$F$67,MATCH(LARGE(Pipeline!$N$7:$N$67,4),Pipeline!$N$7:$N$67,0))="","—",INDEX(Pipeline!$F$7:$F$67,MATCH(LARGE(Pipeline!$N$7:$N$67,4),Pipeline!$N$7:$N$67,0))),"")</f>
        <v/>
      </c>
      <c r="F20" s="30">
        <f>IFERROR(IF(INDEX(Pipeline!$D$7:$D$67,MATCH(LARGE(Pipeline!$N$7:$N$67,4),Pipeline!$N$7:$N$67,0))="","—",INDEX(Pipeline!$D$7:$D$67,MATCH(LARGE(Pipeline!$N$7:$N$67,4),Pipeline!$N$7:$N$67,0))),"")</f>
        <v/>
      </c>
      <c r="G20" s="49">
        <f>IFERROR(IF(INDEX(Pipeline!$G$7:$G$67,MATCH(LARGE(Pipeline!$N$7:$N$67,4),Pipeline!$N$7:$N$67,0))="","—",INDEX(Pipeline!$G$7:$G$67,MATCH(LARGE(Pipeline!$N$7:$N$67,4),Pipeline!$N$7:$N$67,0))),"")</f>
        <v/>
      </c>
      <c r="H20" s="58">
        <f>IFERROR(IF(INDEX(Pipeline!$H$7:$H$67,MATCH(LARGE(Pipeline!$N$7:$N$67,4),Pipeline!$N$7:$N$67,0))="","—",INDEX(Pipeline!$H$7:$H$67,MATCH(LARGE(Pipeline!$N$7:$N$67,4),Pipeline!$N$7:$N$67,0))),"")</f>
        <v/>
      </c>
      <c r="I20" s="30">
        <f>IFERROR(IF(INDEX(Pipeline!$I$7:$I$67,MATCH(LARGE(Pipeline!$N$7:$N$67,4),Pipeline!$N$7:$N$67,0))="","—",INDEX(Pipeline!$I$7:$I$67,MATCH(LARGE(Pipeline!$N$7:$N$67,4),Pipeline!$N$7:$N$67,0))),"")</f>
        <v/>
      </c>
      <c r="J20" s="45">
        <f>IFERROR(IF(INDEX(Pipeline!$J$7:$J$67,MATCH(LARGE(Pipeline!$N$7:$N$67,4),Pipeline!$N$7:$N$67,0))="","—",INDEX(Pipeline!$J$7:$J$67,MATCH(LARGE(Pipeline!$N$7:$N$67,4),Pipeline!$N$7:$N$67,0))),"")</f>
        <v/>
      </c>
      <c r="K20" s="59">
        <f>IFERROR(IF(INDEX(Pipeline!$K$7:$K$67,MATCH(LARGE(Pipeline!$N$7:$N$67,4),Pipeline!$N$7:$N$67,0))="","—",INDEX(Pipeline!$K$7:$K$67,MATCH(LARGE(Pipeline!$N$7:$N$67,4),Pipeline!$N$7:$N$67,0))),"")</f>
        <v/>
      </c>
      <c r="L20" s="58">
        <f>IFERROR(IF(INDEX(Pipeline!$L$7:$L$67,MATCH(LARGE(Pipeline!$N$7:$N$67,4),Pipeline!$N$7:$N$67,0))="","—",INDEX(Pipeline!$L$7:$L$67,MATCH(LARGE(Pipeline!$N$7:$N$67,4),Pipeline!$N$7:$N$67,0))),"")</f>
        <v/>
      </c>
    </row>
    <row r="21">
      <c r="A21" s="32" t="n">
        <v>5</v>
      </c>
      <c r="B21" s="30">
        <f>IFERROR(IF(INDEX(Pipeline!$B$7:$B$67,MATCH(LARGE(Pipeline!$N$7:$N$67,5),Pipeline!$N$7:$N$67,0))="","—",INDEX(Pipeline!$B$7:$B$67,MATCH(LARGE(Pipeline!$N$7:$N$67,5),Pipeline!$N$7:$N$67,0))),"")</f>
        <v/>
      </c>
      <c r="C21" s="30">
        <f>IFERROR(IF(INDEX(Pipeline!$C$7:$C$67,MATCH(LARGE(Pipeline!$N$7:$N$67,5),Pipeline!$N$7:$N$67,0))="","—",INDEX(Pipeline!$C$7:$C$67,MATCH(LARGE(Pipeline!$N$7:$N$67,5),Pipeline!$N$7:$N$67,0))),"")</f>
        <v/>
      </c>
      <c r="D21" s="30">
        <f>IFERROR(IF(INDEX(Pipeline!$E$7:$E$67,MATCH(LARGE(Pipeline!$N$7:$N$67,5),Pipeline!$N$7:$N$67,0))="","—",INDEX(Pipeline!$E$7:$E$67,MATCH(LARGE(Pipeline!$N$7:$N$67,5),Pipeline!$N$7:$N$67,0))),"")</f>
        <v/>
      </c>
      <c r="E21" s="30">
        <f>IFERROR(IF(INDEX(Pipeline!$F$7:$F$67,MATCH(LARGE(Pipeline!$N$7:$N$67,5),Pipeline!$N$7:$N$67,0))="","—",INDEX(Pipeline!$F$7:$F$67,MATCH(LARGE(Pipeline!$N$7:$N$67,5),Pipeline!$N$7:$N$67,0))),"")</f>
        <v/>
      </c>
      <c r="F21" s="30">
        <f>IFERROR(IF(INDEX(Pipeline!$D$7:$D$67,MATCH(LARGE(Pipeline!$N$7:$N$67,5),Pipeline!$N$7:$N$67,0))="","—",INDEX(Pipeline!$D$7:$D$67,MATCH(LARGE(Pipeline!$N$7:$N$67,5),Pipeline!$N$7:$N$67,0))),"")</f>
        <v/>
      </c>
      <c r="G21" s="49" t="n">
        <v>2088</v>
      </c>
      <c r="H21" s="58">
        <f>IFERROR(IF(INDEX(Pipeline!$H$7:$H$67,MATCH(LARGE(Pipeline!$N$7:$N$67,5),Pipeline!$N$7:$N$67,0))="","—",INDEX(Pipeline!$H$7:$H$67,MATCH(LARGE(Pipeline!$N$7:$N$67,5),Pipeline!$N$7:$N$67,0))),"")</f>
        <v/>
      </c>
      <c r="I21" s="30" t="inlineStr">
        <is>
          <t>closed</t>
        </is>
      </c>
      <c r="J21" s="45" t="n">
        <v>1</v>
      </c>
      <c r="K21" s="59" t="inlineStr">
        <is>
          <t>Octuber</t>
        </is>
      </c>
      <c r="L21" s="58">
        <f>IFERROR(IF(INDEX(Pipeline!$L$7:$L$67,MATCH(LARGE(Pipeline!$N$7:$N$67,5),Pipeline!$N$7:$N$67,0))="","—",INDEX(Pipeline!$L$7:$L$67,MATCH(LARGE(Pipeline!$N$7:$N$67,5),Pipeline!$N$7:$N$67,0))),"")</f>
        <v/>
      </c>
    </row>
    <row r="22">
      <c r="B22" s="33" t="inlineStr">
        <is>
          <t>Total Top 5</t>
        </is>
      </c>
      <c r="G22" s="34">
        <f>SUM(G17:G21)</f>
        <v/>
      </c>
      <c r="H22" s="60">
        <f>SUM(H17:H21)</f>
        <v/>
      </c>
    </row>
    <row r="24">
      <c r="B24" s="26" t="inlineStr">
        <is>
          <t>Top 5 Industrial / pipeline Industrial USD</t>
        </is>
      </c>
      <c r="H24" s="28">
        <f>H13/SUMIFS(Pipeline!H7:H67,Pipeline!A7:A67,"Industrial")</f>
        <v/>
      </c>
    </row>
    <row r="25">
      <c r="B25" s="26" t="inlineStr">
        <is>
          <t>Top 5 Distribución / pipeline Distribución USD</t>
        </is>
      </c>
      <c r="H25" s="28">
        <f>H22/SUMIFS(Pipeline!H7:H67,Pipeline!A7:A67,"Distribución")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tabColor rgb="FF061530"/>
    <outlinePr summaryBelow="1" summaryRight="1"/>
    <pageSetUpPr/>
  </sheetPr>
  <dimension ref="A1:L35"/>
  <sheetViews>
    <sheetView showGridLines="0" zoomScaleNormal="100" workbookViewId="0">
      <selection activeCell="G10" sqref="G10"/>
    </sheetView>
  </sheetViews>
  <sheetFormatPr baseColWidth="10" defaultColWidth="8.7109375" defaultRowHeight="15"/>
  <cols>
    <col width="5" customWidth="1" min="1" max="1"/>
    <col width="40" customWidth="1" min="2" max="2"/>
    <col width="26" customWidth="1" min="3" max="3"/>
    <col width="16" customWidth="1" min="4" max="5"/>
    <col width="22" customWidth="1" min="6" max="6"/>
    <col width="11" customWidth="1" min="7" max="7"/>
    <col width="14" customWidth="1" min="8" max="9"/>
    <col width="9" customWidth="1" min="10" max="10"/>
    <col width="12" customWidth="1" min="11" max="11"/>
    <col width="15" customWidth="1" min="12" max="12"/>
  </cols>
  <sheetData>
    <row r="1" ht="18" customHeight="1">
      <c r="A1" s="2" t="inlineStr">
        <is>
          <t>08 · Key Projects – Industrial y Distribución</t>
        </is>
      </c>
    </row>
    <row r="2">
      <c r="A2" s="24" t="inlineStr">
        <is>
          <t>Top 5 por m² (todos los estados) + resumen de pipeline</t>
        </is>
      </c>
    </row>
    <row r="6">
      <c r="A6" s="3" t="inlineStr">
        <is>
          <t>Industrial – Top 5 proyectos por m² (todos los estados)</t>
        </is>
      </c>
    </row>
    <row r="7" ht="30" customHeight="1">
      <c r="A7" s="25" t="inlineStr">
        <is>
          <t>#</t>
        </is>
      </c>
      <c r="B7" s="25" t="inlineStr">
        <is>
          <t>Cliente</t>
        </is>
      </c>
      <c r="C7" s="25" t="inlineStr">
        <is>
          <t>Proyecto</t>
        </is>
      </c>
      <c r="D7" s="25" t="inlineStr">
        <is>
          <t>País</t>
        </is>
      </c>
      <c r="E7" s="25" t="inlineStr">
        <is>
          <t>Portafolio (Type)</t>
        </is>
      </c>
      <c r="F7" s="25" t="inlineStr">
        <is>
          <t>Ejecutivo</t>
        </is>
      </c>
      <c r="G7" s="25" t="inlineStr">
        <is>
          <t>m²</t>
        </is>
      </c>
      <c r="H7" s="25" t="inlineStr">
        <is>
          <t>USD</t>
        </is>
      </c>
      <c r="I7" s="25" t="inlineStr">
        <is>
          <t>Estado</t>
        </is>
      </c>
      <c r="J7" s="25" t="inlineStr">
        <is>
          <t>% Cierre</t>
        </is>
      </c>
      <c r="K7" s="25" t="inlineStr">
        <is>
          <t>Fecha cierre</t>
        </is>
      </c>
      <c r="L7" s="25" t="inlineStr">
        <is>
          <t>Valor ponderado</t>
        </is>
      </c>
    </row>
    <row r="8">
      <c r="A8" s="32" t="n">
        <v>1</v>
      </c>
      <c r="B8" s="30">
        <f>IFERROR(IF(INDEX(Pipeline!$B$7:$B$67,MATCH(LARGE(Pipeline!$O$7:$O$67,1),Pipeline!$O$7:$O$67,0))="","—",INDEX(Pipeline!$B$7:$B$67,MATCH(LARGE(Pipeline!$O$7:$O$67,1),Pipeline!$O$7:$O$67,0))),"")</f>
        <v/>
      </c>
      <c r="C8" s="30">
        <f>IFERROR(IF(INDEX(Pipeline!$C$7:$C$67,MATCH(LARGE(Pipeline!$O$7:$O$67,1),Pipeline!$O$7:$O$67,0))="","—",INDEX(Pipeline!$C$7:$C$67,MATCH(LARGE(Pipeline!$O$7:$O$67,1),Pipeline!$O$7:$O$67,0))),"")</f>
        <v/>
      </c>
      <c r="D8" s="30">
        <f>IFERROR(IF(INDEX(Pipeline!$E$7:$E$67,MATCH(LARGE(Pipeline!$O$7:$O$67,1),Pipeline!$O$7:$O$67,0))="","—",INDEX(Pipeline!$E$7:$E$67,MATCH(LARGE(Pipeline!$O$7:$O$67,1),Pipeline!$O$7:$O$67,0))),"")</f>
        <v/>
      </c>
      <c r="E8" s="30">
        <f>IFERROR(IF(INDEX(Pipeline!$F$7:$F$67,MATCH(LARGE(Pipeline!$O$7:$O$67,1),Pipeline!$O$7:$O$67,0))="","—",INDEX(Pipeline!$F$7:$F$67,MATCH(LARGE(Pipeline!$O$7:$O$67,1),Pipeline!$O$7:$O$67,0))),"")</f>
        <v/>
      </c>
      <c r="F8" s="30">
        <f>IFERROR(IF(INDEX(Pipeline!$D$7:$D$67,MATCH(LARGE(Pipeline!$O$7:$O$67,1),Pipeline!$O$7:$O$67,0))="","—",INDEX(Pipeline!$D$7:$D$67,MATCH(LARGE(Pipeline!$O$7:$O$67,1),Pipeline!$O$7:$O$67,0))),"")</f>
        <v/>
      </c>
      <c r="G8" s="49">
        <f>IFERROR(IF(INDEX(Pipeline!$G$7:$G$67,MATCH(LARGE(Pipeline!$O$7:$O$67,1),Pipeline!$O$7:$O$67,0))="","—",INDEX(Pipeline!$G$7:$G$67,MATCH(LARGE(Pipeline!$O$7:$O$67,1),Pipeline!$O$7:$O$67,0))),"")</f>
        <v/>
      </c>
      <c r="H8" s="58">
        <f>IFERROR(IF(INDEX(Pipeline!$H$7:$H$67,MATCH(LARGE(Pipeline!$O$7:$O$67,1),Pipeline!$O$7:$O$67,0))="","—",INDEX(Pipeline!$H$7:$H$67,MATCH(LARGE(Pipeline!$O$7:$O$67,1),Pipeline!$O$7:$O$67,0))),"")</f>
        <v/>
      </c>
      <c r="I8" s="30">
        <f>IFERROR(IF(INDEX(Pipeline!$I$7:$I$67,MATCH(LARGE(Pipeline!$O$7:$O$67,1),Pipeline!$O$7:$O$67,0))="","—",INDEX(Pipeline!$I$7:$I$67,MATCH(LARGE(Pipeline!$O$7:$O$67,1),Pipeline!$O$7:$O$67,0))),"")</f>
        <v/>
      </c>
      <c r="J8" s="45">
        <f>IFERROR(IF(INDEX(Pipeline!$J$7:$J$67,MATCH(LARGE(Pipeline!$O$7:$O$67,1),Pipeline!$O$7:$O$67,0))="","—",INDEX(Pipeline!$J$7:$J$67,MATCH(LARGE(Pipeline!$O$7:$O$67,1),Pipeline!$O$7:$O$67,0))),"")</f>
        <v/>
      </c>
      <c r="K8" s="59">
        <f>IFERROR(IF(INDEX(Pipeline!$K$7:$K$67,MATCH(LARGE(Pipeline!$O$7:$O$67,1),Pipeline!$O$7:$O$67,0))="","—",INDEX(Pipeline!$K$7:$K$67,MATCH(LARGE(Pipeline!$O$7:$O$67,1),Pipeline!$O$7:$O$67,0))),"")</f>
        <v/>
      </c>
      <c r="L8" s="58">
        <f>IFERROR(IF(INDEX(Pipeline!$L$7:$L$67,MATCH(LARGE(Pipeline!$O$7:$O$67,1),Pipeline!$O$7:$O$67,0))="","—",INDEX(Pipeline!$L$7:$L$67,MATCH(LARGE(Pipeline!$O$7:$O$67,1),Pipeline!$O$7:$O$67,0))),"")</f>
        <v/>
      </c>
    </row>
    <row r="9">
      <c r="A9" s="32" t="n">
        <v>2</v>
      </c>
      <c r="B9" s="30">
        <f>IFERROR(IF(INDEX(Pipeline!$B$7:$B$67,MATCH(LARGE(Pipeline!$O$7:$O$67,2),Pipeline!$O$7:$O$67,0))="","—",INDEX(Pipeline!$B$7:$B$67,MATCH(LARGE(Pipeline!$O$7:$O$67,2),Pipeline!$O$7:$O$67,0))),"")</f>
        <v/>
      </c>
      <c r="C9" s="30">
        <f>IFERROR(IF(INDEX(Pipeline!$C$7:$C$67,MATCH(LARGE(Pipeline!$O$7:$O$67,2),Pipeline!$O$7:$O$67,0))="","—",INDEX(Pipeline!$C$7:$C$67,MATCH(LARGE(Pipeline!$O$7:$O$67,2),Pipeline!$O$7:$O$67,0))),"")</f>
        <v/>
      </c>
      <c r="D9" s="30">
        <f>IFERROR(IF(INDEX(Pipeline!$E$7:$E$67,MATCH(LARGE(Pipeline!$O$7:$O$67,2),Pipeline!$O$7:$O$67,0))="","—",INDEX(Pipeline!$E$7:$E$67,MATCH(LARGE(Pipeline!$O$7:$O$67,2),Pipeline!$O$7:$O$67,0))),"")</f>
        <v/>
      </c>
      <c r="E9" s="30">
        <f>IFERROR(IF(INDEX(Pipeline!$F$7:$F$67,MATCH(LARGE(Pipeline!$O$7:$O$67,2),Pipeline!$O$7:$O$67,0))="","—",INDEX(Pipeline!$F$7:$F$67,MATCH(LARGE(Pipeline!$O$7:$O$67,2),Pipeline!$O$7:$O$67,0))),"")</f>
        <v/>
      </c>
      <c r="F9" s="30">
        <f>IFERROR(IF(INDEX(Pipeline!$D$7:$D$67,MATCH(LARGE(Pipeline!$O$7:$O$67,2),Pipeline!$O$7:$O$67,0))="","—",INDEX(Pipeline!$D$7:$D$67,MATCH(LARGE(Pipeline!$O$7:$O$67,2),Pipeline!$O$7:$O$67,0))),"")</f>
        <v/>
      </c>
      <c r="G9" s="49">
        <f>IFERROR(IF(INDEX(Pipeline!$G$7:$G$67,MATCH(LARGE(Pipeline!$O$7:$O$67,2),Pipeline!$O$7:$O$67,0))="","—",INDEX(Pipeline!$G$7:$G$67,MATCH(LARGE(Pipeline!$O$7:$O$67,2),Pipeline!$O$7:$O$67,0))),"")</f>
        <v/>
      </c>
      <c r="H9" s="58">
        <f>IFERROR(IF(INDEX(Pipeline!$H$7:$H$67,MATCH(LARGE(Pipeline!$O$7:$O$67,2),Pipeline!$O$7:$O$67,0))="","—",INDEX(Pipeline!$H$7:$H$67,MATCH(LARGE(Pipeline!$O$7:$O$67,2),Pipeline!$O$7:$O$67,0))),"")</f>
        <v/>
      </c>
      <c r="I9" s="30">
        <f>IFERROR(IF(INDEX(Pipeline!$I$7:$I$67,MATCH(LARGE(Pipeline!$O$7:$O$67,2),Pipeline!$O$7:$O$67,0))="","—",INDEX(Pipeline!$I$7:$I$67,MATCH(LARGE(Pipeline!$O$7:$O$67,2),Pipeline!$O$7:$O$67,0))),"")</f>
        <v/>
      </c>
      <c r="J9" s="45">
        <f>IFERROR(IF(INDEX(Pipeline!$J$7:$J$67,MATCH(LARGE(Pipeline!$O$7:$O$67,2),Pipeline!$O$7:$O$67,0))="","—",INDEX(Pipeline!$J$7:$J$67,MATCH(LARGE(Pipeline!$O$7:$O$67,2),Pipeline!$O$7:$O$67,0))),"")</f>
        <v/>
      </c>
      <c r="K9" s="59">
        <f>IFERROR(IF(INDEX(Pipeline!$K$7:$K$67,MATCH(LARGE(Pipeline!$O$7:$O$67,2),Pipeline!$O$7:$O$67,0))="","—",INDEX(Pipeline!$K$7:$K$67,MATCH(LARGE(Pipeline!$O$7:$O$67,2),Pipeline!$O$7:$O$67,0))),"")</f>
        <v/>
      </c>
      <c r="L9" s="58">
        <f>IFERROR(IF(INDEX(Pipeline!$L$7:$L$67,MATCH(LARGE(Pipeline!$O$7:$O$67,2),Pipeline!$O$7:$O$67,0))="","—",INDEX(Pipeline!$L$7:$L$67,MATCH(LARGE(Pipeline!$O$7:$O$67,2),Pipeline!$O$7:$O$67,0))),"")</f>
        <v/>
      </c>
    </row>
    <row r="10">
      <c r="A10" s="32" t="n">
        <v>3</v>
      </c>
      <c r="B10" s="30">
        <f>IFERROR(IF(INDEX(Pipeline!$B$7:$B$67,MATCH(LARGE(Pipeline!$O$7:$O$67,3),Pipeline!$O$7:$O$67,0))="","—",INDEX(Pipeline!$B$7:$B$67,MATCH(LARGE(Pipeline!$O$7:$O$67,3),Pipeline!$O$7:$O$67,0))),"")</f>
        <v/>
      </c>
      <c r="C10" s="30">
        <f>IFERROR(IF(INDEX(Pipeline!$C$7:$C$67,MATCH(LARGE(Pipeline!$O$7:$O$67,3),Pipeline!$O$7:$O$67,0))="","—",INDEX(Pipeline!$C$7:$C$67,MATCH(LARGE(Pipeline!$O$7:$O$67,3),Pipeline!$O$7:$O$67,0))),"")</f>
        <v/>
      </c>
      <c r="D10" s="30">
        <f>IFERROR(IF(INDEX(Pipeline!$E$7:$E$67,MATCH(LARGE(Pipeline!$O$7:$O$67,3),Pipeline!$O$7:$O$67,0))="","—",INDEX(Pipeline!$E$7:$E$67,MATCH(LARGE(Pipeline!$O$7:$O$67,3),Pipeline!$O$7:$O$67,0))),"")</f>
        <v/>
      </c>
      <c r="E10" s="30">
        <f>IFERROR(IF(INDEX(Pipeline!$F$7:$F$67,MATCH(LARGE(Pipeline!$O$7:$O$67,3),Pipeline!$O$7:$O$67,0))="","—",INDEX(Pipeline!$F$7:$F$67,MATCH(LARGE(Pipeline!$O$7:$O$67,3),Pipeline!$O$7:$O$67,0))),"")</f>
        <v/>
      </c>
      <c r="F10" s="30">
        <f>IFERROR(IF(INDEX(Pipeline!$D$7:$D$67,MATCH(LARGE(Pipeline!$O$7:$O$67,3),Pipeline!$O$7:$O$67,0))="","—",INDEX(Pipeline!$D$7:$D$67,MATCH(LARGE(Pipeline!$O$7:$O$67,3),Pipeline!$O$7:$O$67,0))),"")</f>
        <v/>
      </c>
      <c r="G10" s="49">
        <f>IFERROR(IF(INDEX(Pipeline!$G$7:$G$67,MATCH(LARGE(Pipeline!$O$7:$O$67,3),Pipeline!$O$7:$O$67,0))="","—",INDEX(Pipeline!$G$7:$G$67,MATCH(LARGE(Pipeline!$O$7:$O$67,3),Pipeline!$O$7:$O$67,0))),"")</f>
        <v/>
      </c>
      <c r="H10" s="58">
        <f>IFERROR(IF(INDEX(Pipeline!$H$7:$H$67,MATCH(LARGE(Pipeline!$O$7:$O$67,3),Pipeline!$O$7:$O$67,0))="","—",INDEX(Pipeline!$H$7:$H$67,MATCH(LARGE(Pipeline!$O$7:$O$67,3),Pipeline!$O$7:$O$67,0))),"")</f>
        <v/>
      </c>
      <c r="I10" s="30">
        <f>IFERROR(IF(INDEX(Pipeline!$I$7:$I$67,MATCH(LARGE(Pipeline!$O$7:$O$67,3),Pipeline!$O$7:$O$67,0))="","—",INDEX(Pipeline!$I$7:$I$67,MATCH(LARGE(Pipeline!$O$7:$O$67,3),Pipeline!$O$7:$O$67,0))),"")</f>
        <v/>
      </c>
      <c r="J10" s="45">
        <f>IFERROR(IF(INDEX(Pipeline!$J$7:$J$67,MATCH(LARGE(Pipeline!$O$7:$O$67,3),Pipeline!$O$7:$O$67,0))="","—",INDEX(Pipeline!$J$7:$J$67,MATCH(LARGE(Pipeline!$O$7:$O$67,3),Pipeline!$O$7:$O$67,0))),"")</f>
        <v/>
      </c>
      <c r="K10" s="59">
        <f>IFERROR(IF(INDEX(Pipeline!$K$7:$K$67,MATCH(LARGE(Pipeline!$O$7:$O$67,3),Pipeline!$O$7:$O$67,0))="","—",INDEX(Pipeline!$K$7:$K$67,MATCH(LARGE(Pipeline!$O$7:$O$67,3),Pipeline!$O$7:$O$67,0))),"")</f>
        <v/>
      </c>
      <c r="L10" s="58">
        <f>IFERROR(IF(INDEX(Pipeline!$L$7:$L$67,MATCH(LARGE(Pipeline!$O$7:$O$67,3),Pipeline!$O$7:$O$67,0))="","—",INDEX(Pipeline!$L$7:$L$67,MATCH(LARGE(Pipeline!$O$7:$O$67,3),Pipeline!$O$7:$O$67,0))),"")</f>
        <v/>
      </c>
    </row>
    <row r="11">
      <c r="A11" s="32" t="n">
        <v>4</v>
      </c>
      <c r="B11" s="30">
        <f>IFERROR(IF(INDEX(Pipeline!$B$7:$B$67,MATCH(LARGE(Pipeline!$O$7:$O$67,4),Pipeline!$O$7:$O$67,0))="","—",INDEX(Pipeline!$B$7:$B$67,MATCH(LARGE(Pipeline!$O$7:$O$67,4),Pipeline!$O$7:$O$67,0))),"")</f>
        <v/>
      </c>
      <c r="C11" s="30">
        <f>IFERROR(IF(INDEX(Pipeline!$C$7:$C$67,MATCH(LARGE(Pipeline!$O$7:$O$67,4),Pipeline!$O$7:$O$67,0))="","—",INDEX(Pipeline!$C$7:$C$67,MATCH(LARGE(Pipeline!$O$7:$O$67,4),Pipeline!$O$7:$O$67,0))),"")</f>
        <v/>
      </c>
      <c r="D11" s="30">
        <f>IFERROR(IF(INDEX(Pipeline!$E$7:$E$67,MATCH(LARGE(Pipeline!$O$7:$O$67,4),Pipeline!$O$7:$O$67,0))="","—",INDEX(Pipeline!$E$7:$E$67,MATCH(LARGE(Pipeline!$O$7:$O$67,4),Pipeline!$O$7:$O$67,0))),"")</f>
        <v/>
      </c>
      <c r="E11" s="30">
        <f>IFERROR(IF(INDEX(Pipeline!$F$7:$F$67,MATCH(LARGE(Pipeline!$O$7:$O$67,4),Pipeline!$O$7:$O$67,0))="","—",INDEX(Pipeline!$F$7:$F$67,MATCH(LARGE(Pipeline!$O$7:$O$67,4),Pipeline!$O$7:$O$67,0))),"")</f>
        <v/>
      </c>
      <c r="F11" s="30">
        <f>IFERROR(IF(INDEX(Pipeline!$D$7:$D$67,MATCH(LARGE(Pipeline!$O$7:$O$67,4),Pipeline!$O$7:$O$67,0))="","—",INDEX(Pipeline!$D$7:$D$67,MATCH(LARGE(Pipeline!$O$7:$O$67,4),Pipeline!$O$7:$O$67,0))),"")</f>
        <v/>
      </c>
      <c r="G11" s="49">
        <f>IFERROR(IF(INDEX(Pipeline!$G$7:$G$67,MATCH(LARGE(Pipeline!$O$7:$O$67,4),Pipeline!$O$7:$O$67,0))="","—",INDEX(Pipeline!$G$7:$G$67,MATCH(LARGE(Pipeline!$O$7:$O$67,4),Pipeline!$O$7:$O$67,0))),"")</f>
        <v/>
      </c>
      <c r="H11" s="58">
        <f>IFERROR(IF(INDEX(Pipeline!$H$7:$H$67,MATCH(LARGE(Pipeline!$O$7:$O$67,4),Pipeline!$O$7:$O$67,0))="","—",INDEX(Pipeline!$H$7:$H$67,MATCH(LARGE(Pipeline!$O$7:$O$67,4),Pipeline!$O$7:$O$67,0))),"")</f>
        <v/>
      </c>
      <c r="I11" s="30">
        <f>IFERROR(IF(INDEX(Pipeline!$I$7:$I$67,MATCH(LARGE(Pipeline!$O$7:$O$67,4),Pipeline!$O$7:$O$67,0))="","—",INDEX(Pipeline!$I$7:$I$67,MATCH(LARGE(Pipeline!$O$7:$O$67,4),Pipeline!$O$7:$O$67,0))),"")</f>
        <v/>
      </c>
      <c r="J11" s="45">
        <f>IFERROR(IF(INDEX(Pipeline!$J$7:$J$67,MATCH(LARGE(Pipeline!$O$7:$O$67,4),Pipeline!$O$7:$O$67,0))="","—",INDEX(Pipeline!$J$7:$J$67,MATCH(LARGE(Pipeline!$O$7:$O$67,4),Pipeline!$O$7:$O$67,0))),"")</f>
        <v/>
      </c>
      <c r="K11" s="59">
        <f>IFERROR(IF(INDEX(Pipeline!$K$7:$K$67,MATCH(LARGE(Pipeline!$O$7:$O$67,4),Pipeline!$O$7:$O$67,0))="","—",INDEX(Pipeline!$K$7:$K$67,MATCH(LARGE(Pipeline!$O$7:$O$67,4),Pipeline!$O$7:$O$67,0))),"")</f>
        <v/>
      </c>
      <c r="L11" s="58">
        <f>IFERROR(IF(INDEX(Pipeline!$L$7:$L$67,MATCH(LARGE(Pipeline!$O$7:$O$67,4),Pipeline!$O$7:$O$67,0))="","—",INDEX(Pipeline!$L$7:$L$67,MATCH(LARGE(Pipeline!$O$7:$O$67,4),Pipeline!$O$7:$O$67,0))),"")</f>
        <v/>
      </c>
    </row>
    <row r="12">
      <c r="A12" s="32" t="n">
        <v>5</v>
      </c>
      <c r="B12" s="30">
        <f>IFERROR(IF(INDEX(Pipeline!$B$7:$B$67,MATCH(LARGE(Pipeline!$O$7:$O$67,5),Pipeline!$O$7:$O$67,0))="","—",INDEX(Pipeline!$B$7:$B$67,MATCH(LARGE(Pipeline!$O$7:$O$67,5),Pipeline!$O$7:$O$67,0))),"")</f>
        <v/>
      </c>
      <c r="C12" s="30">
        <f>IFERROR(IF(INDEX(Pipeline!$C$7:$C$67,MATCH(LARGE(Pipeline!$O$7:$O$67,5),Pipeline!$O$7:$O$67,0))="","—",INDEX(Pipeline!$C$7:$C$67,MATCH(LARGE(Pipeline!$O$7:$O$67,5),Pipeline!$O$7:$O$67,0))),"")</f>
        <v/>
      </c>
      <c r="D12" s="30">
        <f>IFERROR(IF(INDEX(Pipeline!$E$7:$E$67,MATCH(LARGE(Pipeline!$O$7:$O$67,5),Pipeline!$O$7:$O$67,0))="","—",INDEX(Pipeline!$E$7:$E$67,MATCH(LARGE(Pipeline!$O$7:$O$67,5),Pipeline!$O$7:$O$67,0))),"")</f>
        <v/>
      </c>
      <c r="E12" s="30">
        <f>IFERROR(IF(INDEX(Pipeline!$F$7:$F$67,MATCH(LARGE(Pipeline!$O$7:$O$67,5),Pipeline!$O$7:$O$67,0))="","—",INDEX(Pipeline!$F$7:$F$67,MATCH(LARGE(Pipeline!$O$7:$O$67,5),Pipeline!$O$7:$O$67,0))),"")</f>
        <v/>
      </c>
      <c r="F12" s="30">
        <f>IFERROR(IF(INDEX(Pipeline!$D$7:$D$67,MATCH(LARGE(Pipeline!$O$7:$O$67,5),Pipeline!$O$7:$O$67,0))="","—",INDEX(Pipeline!$D$7:$D$67,MATCH(LARGE(Pipeline!$O$7:$O$67,5),Pipeline!$O$7:$O$67,0))),"")</f>
        <v/>
      </c>
      <c r="G12" s="49">
        <f>IFERROR(IF(INDEX(Pipeline!$G$7:$G$67,MATCH(LARGE(Pipeline!$O$7:$O$67,5),Pipeline!$O$7:$O$67,0))="","—",INDEX(Pipeline!$G$7:$G$67,MATCH(LARGE(Pipeline!$O$7:$O$67,5),Pipeline!$O$7:$O$67,0))),"")</f>
        <v/>
      </c>
      <c r="H12" s="58">
        <f>IFERROR(IF(INDEX(Pipeline!$H$7:$H$67,MATCH(LARGE(Pipeline!$O$7:$O$67,5),Pipeline!$O$7:$O$67,0))="","—",INDEX(Pipeline!$H$7:$H$67,MATCH(LARGE(Pipeline!$O$7:$O$67,5),Pipeline!$O$7:$O$67,0))),"")</f>
        <v/>
      </c>
      <c r="I12" s="30">
        <f>IFERROR(IF(INDEX(Pipeline!$I$7:$I$67,MATCH(LARGE(Pipeline!$O$7:$O$67,5),Pipeline!$O$7:$O$67,0))="","—",INDEX(Pipeline!$I$7:$I$67,MATCH(LARGE(Pipeline!$O$7:$O$67,5),Pipeline!$O$7:$O$67,0))),"")</f>
        <v/>
      </c>
      <c r="J12" s="45">
        <f>IFERROR(IF(INDEX(Pipeline!$J$7:$J$67,MATCH(LARGE(Pipeline!$O$7:$O$67,5),Pipeline!$O$7:$O$67,0))="","—",INDEX(Pipeline!$J$7:$J$67,MATCH(LARGE(Pipeline!$O$7:$O$67,5),Pipeline!$O$7:$O$67,0))),"")</f>
        <v/>
      </c>
      <c r="K12" s="59">
        <f>IFERROR(IF(INDEX(Pipeline!$K$7:$K$67,MATCH(LARGE(Pipeline!$O$7:$O$67,5),Pipeline!$O$7:$O$67,0))="","—",INDEX(Pipeline!$K$7:$K$67,MATCH(LARGE(Pipeline!$O$7:$O$67,5),Pipeline!$O$7:$O$67,0))),"")</f>
        <v/>
      </c>
      <c r="L12" s="58">
        <f>IFERROR(IF(INDEX(Pipeline!$L$7:$L$67,MATCH(LARGE(Pipeline!$O$7:$O$67,5),Pipeline!$O$7:$O$67,0))="","—",INDEX(Pipeline!$L$7:$L$67,MATCH(LARGE(Pipeline!$O$7:$O$67,5),Pipeline!$O$7:$O$67,0))),"")</f>
        <v/>
      </c>
    </row>
    <row r="13">
      <c r="B13" s="33" t="inlineStr">
        <is>
          <t>Total Top 5</t>
        </is>
      </c>
      <c r="G13" s="34">
        <f>SUM(G8:G12)</f>
        <v/>
      </c>
      <c r="H13" s="60">
        <f>SUM(H8:H12)</f>
        <v/>
      </c>
    </row>
    <row r="15">
      <c r="A15" s="3" t="inlineStr">
        <is>
          <t>Distribución – Top 5 proyectos por m² (todos los estados)</t>
        </is>
      </c>
    </row>
    <row r="16" ht="30" customHeight="1">
      <c r="A16" s="25" t="inlineStr">
        <is>
          <t>#</t>
        </is>
      </c>
      <c r="B16" s="25" t="inlineStr">
        <is>
          <t>Cliente</t>
        </is>
      </c>
      <c r="C16" s="25" t="inlineStr">
        <is>
          <t>Proyecto</t>
        </is>
      </c>
      <c r="D16" s="25" t="inlineStr">
        <is>
          <t>País</t>
        </is>
      </c>
      <c r="E16" s="25" t="inlineStr">
        <is>
          <t>Portafolio (Type)</t>
        </is>
      </c>
      <c r="F16" s="25" t="inlineStr">
        <is>
          <t>Ejecutivo</t>
        </is>
      </c>
      <c r="G16" s="25" t="inlineStr">
        <is>
          <t>m²</t>
        </is>
      </c>
      <c r="H16" s="25" t="inlineStr">
        <is>
          <t>USD</t>
        </is>
      </c>
      <c r="I16" s="25" t="inlineStr">
        <is>
          <t>Estado</t>
        </is>
      </c>
      <c r="J16" s="25" t="inlineStr">
        <is>
          <t>% Cierre</t>
        </is>
      </c>
      <c r="K16" s="25" t="inlineStr">
        <is>
          <t>Fecha cierre</t>
        </is>
      </c>
      <c r="L16" s="25" t="inlineStr">
        <is>
          <t>Valor ponderado</t>
        </is>
      </c>
    </row>
    <row r="17">
      <c r="A17" s="32" t="n">
        <v>1</v>
      </c>
      <c r="B17" s="30">
        <f>IFERROR(IF(INDEX(Pipeline!$B$7:$B$67,MATCH(LARGE(Pipeline!$P$7:$P$67,1),Pipeline!$P$7:$P$67,0))="","—",INDEX(Pipeline!$B$7:$B$67,MATCH(LARGE(Pipeline!$P$7:$P$67,1),Pipeline!$P$7:$P$67,0))),"")</f>
        <v/>
      </c>
      <c r="C17" s="30">
        <f>IFERROR(IF(INDEX(Pipeline!$C$7:$C$67,MATCH(LARGE(Pipeline!$P$7:$P$67,1),Pipeline!$P$7:$P$67,0))="","—",INDEX(Pipeline!$C$7:$C$67,MATCH(LARGE(Pipeline!$P$7:$P$67,1),Pipeline!$P$7:$P$67,0))),"")</f>
        <v/>
      </c>
      <c r="D17" s="30">
        <f>IFERROR(IF(INDEX(Pipeline!$E$7:$E$67,MATCH(LARGE(Pipeline!$P$7:$P$67,1),Pipeline!$P$7:$P$67,0))="","—",INDEX(Pipeline!$E$7:$E$67,MATCH(LARGE(Pipeline!$P$7:$P$67,1),Pipeline!$P$7:$P$67,0))),"")</f>
        <v/>
      </c>
      <c r="E17" s="30">
        <f>IFERROR(IF(INDEX(Pipeline!$F$7:$F$67,MATCH(LARGE(Pipeline!$P$7:$P$67,1),Pipeline!$P$7:$P$67,0))="","—",INDEX(Pipeline!$F$7:$F$67,MATCH(LARGE(Pipeline!$P$7:$P$67,1),Pipeline!$P$7:$P$67,0))),"")</f>
        <v/>
      </c>
      <c r="F17" s="30">
        <f>IFERROR(IF(INDEX(Pipeline!$D$7:$D$67,MATCH(LARGE(Pipeline!$P$7:$P$67,1),Pipeline!$P$7:$P$67,0))="","—",INDEX(Pipeline!$D$7:$D$67,MATCH(LARGE(Pipeline!$P$7:$P$67,1),Pipeline!$P$7:$P$67,0))),"")</f>
        <v/>
      </c>
      <c r="G17" s="49">
        <f>IFERROR(IF(INDEX(Pipeline!$G$7:$G$67,MATCH(LARGE(Pipeline!$P$7:$P$67,1),Pipeline!$P$7:$P$67,0))="","—",INDEX(Pipeline!$G$7:$G$67,MATCH(LARGE(Pipeline!$P$7:$P$67,1),Pipeline!$P$7:$P$67,0))),"")</f>
        <v/>
      </c>
      <c r="H17" s="58">
        <f>IFERROR(IF(INDEX(Pipeline!$H$7:$H$67,MATCH(LARGE(Pipeline!$P$7:$P$67,1),Pipeline!$P$7:$P$67,0))="","—",INDEX(Pipeline!$H$7:$H$67,MATCH(LARGE(Pipeline!$P$7:$P$67,1),Pipeline!$P$7:$P$67,0))),"")</f>
        <v/>
      </c>
      <c r="I17" s="30">
        <f>IFERROR(IF(INDEX(Pipeline!$I$7:$I$67,MATCH(LARGE(Pipeline!$P$7:$P$67,1),Pipeline!$P$7:$P$67,0))="","—",INDEX(Pipeline!$I$7:$I$67,MATCH(LARGE(Pipeline!$P$7:$P$67,1),Pipeline!$P$7:$P$67,0))),"")</f>
        <v/>
      </c>
      <c r="J17" s="45">
        <f>IFERROR(IF(INDEX(Pipeline!$J$7:$J$67,MATCH(LARGE(Pipeline!$P$7:$P$67,1),Pipeline!$P$7:$P$67,0))="","—",INDEX(Pipeline!$J$7:$J$67,MATCH(LARGE(Pipeline!$P$7:$P$67,1),Pipeline!$P$7:$P$67,0))),"")</f>
        <v/>
      </c>
      <c r="K17" s="59">
        <f>IFERROR(IF(INDEX(Pipeline!$K$7:$K$67,MATCH(LARGE(Pipeline!$P$7:$P$67,1),Pipeline!$P$7:$P$67,0))="","—",INDEX(Pipeline!$K$7:$K$67,MATCH(LARGE(Pipeline!$P$7:$P$67,1),Pipeline!$P$7:$P$67,0))),"")</f>
        <v/>
      </c>
      <c r="L17" s="58">
        <f>IFERROR(IF(INDEX(Pipeline!$L$7:$L$67,MATCH(LARGE(Pipeline!$P$7:$P$67,1),Pipeline!$P$7:$P$67,0))="","—",INDEX(Pipeline!$L$7:$L$67,MATCH(LARGE(Pipeline!$P$7:$P$67,1),Pipeline!$P$7:$P$67,0))),"")</f>
        <v/>
      </c>
    </row>
    <row r="18">
      <c r="A18" s="32" t="n">
        <v>2</v>
      </c>
      <c r="B18" s="30">
        <f>IFERROR(IF(INDEX(Pipeline!$B$7:$B$67,MATCH(LARGE(Pipeline!$P$7:$P$67,2),Pipeline!$P$7:$P$67,0))="","—",INDEX(Pipeline!$B$7:$B$67,MATCH(LARGE(Pipeline!$P$7:$P$67,2),Pipeline!$P$7:$P$67,0))),"")</f>
        <v/>
      </c>
      <c r="C18" s="30">
        <f>IFERROR(IF(INDEX(Pipeline!$C$7:$C$67,MATCH(LARGE(Pipeline!$P$7:$P$67,2),Pipeline!$P$7:$P$67,0))="","—",INDEX(Pipeline!$C$7:$C$67,MATCH(LARGE(Pipeline!$P$7:$P$67,2),Pipeline!$P$7:$P$67,0))),"")</f>
        <v/>
      </c>
      <c r="D18" s="30">
        <f>IFERROR(IF(INDEX(Pipeline!$E$7:$E$67,MATCH(LARGE(Pipeline!$P$7:$P$67,2),Pipeline!$P$7:$P$67,0))="","—",INDEX(Pipeline!$E$7:$E$67,MATCH(LARGE(Pipeline!$P$7:$P$67,2),Pipeline!$P$7:$P$67,0))),"")</f>
        <v/>
      </c>
      <c r="E18" s="30">
        <f>IFERROR(IF(INDEX(Pipeline!$F$7:$F$67,MATCH(LARGE(Pipeline!$P$7:$P$67,2),Pipeline!$P$7:$P$67,0))="","—",INDEX(Pipeline!$F$7:$F$67,MATCH(LARGE(Pipeline!$P$7:$P$67,2),Pipeline!$P$7:$P$67,0))),"")</f>
        <v/>
      </c>
      <c r="F18" s="30">
        <f>IFERROR(IF(INDEX(Pipeline!$D$7:$D$67,MATCH(LARGE(Pipeline!$P$7:$P$67,2),Pipeline!$P$7:$P$67,0))="","—",INDEX(Pipeline!$D$7:$D$67,MATCH(LARGE(Pipeline!$P$7:$P$67,2),Pipeline!$P$7:$P$67,0))),"")</f>
        <v/>
      </c>
      <c r="G18" s="49">
        <f>IFERROR(IF(INDEX(Pipeline!$G$7:$G$67,MATCH(LARGE(Pipeline!$P$7:$P$67,2),Pipeline!$P$7:$P$67,0))="","—",INDEX(Pipeline!$G$7:$G$67,MATCH(LARGE(Pipeline!$P$7:$P$67,2),Pipeline!$P$7:$P$67,0))),"")</f>
        <v/>
      </c>
      <c r="H18" s="58">
        <f>IFERROR(IF(INDEX(Pipeline!$H$7:$H$67,MATCH(LARGE(Pipeline!$P$7:$P$67,2),Pipeline!$P$7:$P$67,0))="","—",INDEX(Pipeline!$H$7:$H$67,MATCH(LARGE(Pipeline!$P$7:$P$67,2),Pipeline!$P$7:$P$67,0))),"")</f>
        <v/>
      </c>
      <c r="I18" s="30">
        <f>IFERROR(IF(INDEX(Pipeline!$I$7:$I$67,MATCH(LARGE(Pipeline!$P$7:$P$67,2),Pipeline!$P$7:$P$67,0))="","—",INDEX(Pipeline!$I$7:$I$67,MATCH(LARGE(Pipeline!$P$7:$P$67,2),Pipeline!$P$7:$P$67,0))),"")</f>
        <v/>
      </c>
      <c r="J18" s="45">
        <f>IFERROR(IF(INDEX(Pipeline!$J$7:$J$67,MATCH(LARGE(Pipeline!$P$7:$P$67,2),Pipeline!$P$7:$P$67,0))="","—",INDEX(Pipeline!$J$7:$J$67,MATCH(LARGE(Pipeline!$P$7:$P$67,2),Pipeline!$P$7:$P$67,0))),"")</f>
        <v/>
      </c>
      <c r="K18" s="59">
        <f>IFERROR(IF(INDEX(Pipeline!$K$7:$K$67,MATCH(LARGE(Pipeline!$P$7:$P$67,2),Pipeline!$P$7:$P$67,0))="","—",INDEX(Pipeline!$K$7:$K$67,MATCH(LARGE(Pipeline!$P$7:$P$67,2),Pipeline!$P$7:$P$67,0))),"")</f>
        <v/>
      </c>
      <c r="L18" s="58">
        <f>IFERROR(IF(INDEX(Pipeline!$L$7:$L$67,MATCH(LARGE(Pipeline!$P$7:$P$67,2),Pipeline!$P$7:$P$67,0))="","—",INDEX(Pipeline!$L$7:$L$67,MATCH(LARGE(Pipeline!$P$7:$P$67,2),Pipeline!$P$7:$P$67,0))),"")</f>
        <v/>
      </c>
    </row>
    <row r="19">
      <c r="A19" s="32" t="n">
        <v>3</v>
      </c>
      <c r="B19" s="30">
        <f>IFERROR(IF(INDEX(Pipeline!$B$7:$B$67,MATCH(LARGE(Pipeline!$P$7:$P$67,3),Pipeline!$P$7:$P$67,0))="","—",INDEX(Pipeline!$B$7:$B$67,MATCH(LARGE(Pipeline!$P$7:$P$67,3),Pipeline!$P$7:$P$67,0))),"")</f>
        <v/>
      </c>
      <c r="C19" s="30">
        <f>IFERROR(IF(INDEX(Pipeline!$C$7:$C$67,MATCH(LARGE(Pipeline!$P$7:$P$67,3),Pipeline!$P$7:$P$67,0))="","—",INDEX(Pipeline!$C$7:$C$67,MATCH(LARGE(Pipeline!$P$7:$P$67,3),Pipeline!$P$7:$P$67,0))),"")</f>
        <v/>
      </c>
      <c r="D19" s="30">
        <f>IFERROR(IF(INDEX(Pipeline!$E$7:$E$67,MATCH(LARGE(Pipeline!$P$7:$P$67,3),Pipeline!$P$7:$P$67,0))="","—",INDEX(Pipeline!$E$7:$E$67,MATCH(LARGE(Pipeline!$P$7:$P$67,3),Pipeline!$P$7:$P$67,0))),"")</f>
        <v/>
      </c>
      <c r="E19" s="30">
        <f>IFERROR(IF(INDEX(Pipeline!$F$7:$F$67,MATCH(LARGE(Pipeline!$P$7:$P$67,3),Pipeline!$P$7:$P$67,0))="","—",INDEX(Pipeline!$F$7:$F$67,MATCH(LARGE(Pipeline!$P$7:$P$67,3),Pipeline!$P$7:$P$67,0))),"")</f>
        <v/>
      </c>
      <c r="F19" s="30">
        <f>IFERROR(IF(INDEX(Pipeline!$D$7:$D$67,MATCH(LARGE(Pipeline!$P$7:$P$67,3),Pipeline!$P$7:$P$67,0))="","—",INDEX(Pipeline!$D$7:$D$67,MATCH(LARGE(Pipeline!$P$7:$P$67,3),Pipeline!$P$7:$P$67,0))),"")</f>
        <v/>
      </c>
      <c r="G19" s="49">
        <f>IFERROR(IF(INDEX(Pipeline!$G$7:$G$67,MATCH(LARGE(Pipeline!$P$7:$P$67,3),Pipeline!$P$7:$P$67,0))="","—",INDEX(Pipeline!$G$7:$G$67,MATCH(LARGE(Pipeline!$P$7:$P$67,3),Pipeline!$P$7:$P$67,0))),"")</f>
        <v/>
      </c>
      <c r="H19" s="58">
        <f>IFERROR(IF(INDEX(Pipeline!$H$7:$H$67,MATCH(LARGE(Pipeline!$P$7:$P$67,3),Pipeline!$P$7:$P$67,0))="","—",INDEX(Pipeline!$H$7:$H$67,MATCH(LARGE(Pipeline!$P$7:$P$67,3),Pipeline!$P$7:$P$67,0))),"")</f>
        <v/>
      </c>
      <c r="I19" s="30">
        <f>IFERROR(IF(INDEX(Pipeline!$I$7:$I$67,MATCH(LARGE(Pipeline!$P$7:$P$67,3),Pipeline!$P$7:$P$67,0))="","—",INDEX(Pipeline!$I$7:$I$67,MATCH(LARGE(Pipeline!$P$7:$P$67,3),Pipeline!$P$7:$P$67,0))),"")</f>
        <v/>
      </c>
      <c r="J19" s="45">
        <f>IFERROR(IF(INDEX(Pipeline!$J$7:$J$67,MATCH(LARGE(Pipeline!$P$7:$P$67,3),Pipeline!$P$7:$P$67,0))="","—",INDEX(Pipeline!$J$7:$J$67,MATCH(LARGE(Pipeline!$P$7:$P$67,3),Pipeline!$P$7:$P$67,0))),"")</f>
        <v/>
      </c>
      <c r="K19" s="59">
        <f>IFERROR(IF(INDEX(Pipeline!$K$7:$K$67,MATCH(LARGE(Pipeline!$P$7:$P$67,3),Pipeline!$P$7:$P$67,0))="","—",INDEX(Pipeline!$K$7:$K$67,MATCH(LARGE(Pipeline!$P$7:$P$67,3),Pipeline!$P$7:$P$67,0))),"")</f>
        <v/>
      </c>
      <c r="L19" s="58">
        <f>IFERROR(IF(INDEX(Pipeline!$L$7:$L$67,MATCH(LARGE(Pipeline!$P$7:$P$67,3),Pipeline!$P$7:$P$67,0))="","—",INDEX(Pipeline!$L$7:$L$67,MATCH(LARGE(Pipeline!$P$7:$P$67,3),Pipeline!$P$7:$P$67,0))),"")</f>
        <v/>
      </c>
    </row>
    <row r="20">
      <c r="A20" s="32" t="n">
        <v>4</v>
      </c>
      <c r="B20" s="30">
        <f>IFERROR(IF(INDEX(Pipeline!$B$7:$B$67,MATCH(LARGE(Pipeline!$P$7:$P$67,4),Pipeline!$P$7:$P$67,0))="","—",INDEX(Pipeline!$B$7:$B$67,MATCH(LARGE(Pipeline!$P$7:$P$67,4),Pipeline!$P$7:$P$67,0))),"")</f>
        <v/>
      </c>
      <c r="C20" s="30">
        <f>IFERROR(IF(INDEX(Pipeline!$C$7:$C$67,MATCH(LARGE(Pipeline!$P$7:$P$67,4),Pipeline!$P$7:$P$67,0))="","—",INDEX(Pipeline!$C$7:$C$67,MATCH(LARGE(Pipeline!$P$7:$P$67,4),Pipeline!$P$7:$P$67,0))),"")</f>
        <v/>
      </c>
      <c r="D20" s="30">
        <f>IFERROR(IF(INDEX(Pipeline!$E$7:$E$67,MATCH(LARGE(Pipeline!$P$7:$P$67,4),Pipeline!$P$7:$P$67,0))="","—",INDEX(Pipeline!$E$7:$E$67,MATCH(LARGE(Pipeline!$P$7:$P$67,4),Pipeline!$P$7:$P$67,0))),"")</f>
        <v/>
      </c>
      <c r="E20" s="30">
        <f>IFERROR(IF(INDEX(Pipeline!$F$7:$F$67,MATCH(LARGE(Pipeline!$P$7:$P$67,4),Pipeline!$P$7:$P$67,0))="","—",INDEX(Pipeline!$F$7:$F$67,MATCH(LARGE(Pipeline!$P$7:$P$67,4),Pipeline!$P$7:$P$67,0))),"")</f>
        <v/>
      </c>
      <c r="F20" s="30">
        <f>IFERROR(IF(INDEX(Pipeline!$D$7:$D$67,MATCH(LARGE(Pipeline!$P$7:$P$67,4),Pipeline!$P$7:$P$67,0))="","—",INDEX(Pipeline!$D$7:$D$67,MATCH(LARGE(Pipeline!$P$7:$P$67,4),Pipeline!$P$7:$P$67,0))),"")</f>
        <v/>
      </c>
      <c r="G20" s="49">
        <f>IFERROR(IF(INDEX(Pipeline!$G$7:$G$67,MATCH(LARGE(Pipeline!$P$7:$P$67,4),Pipeline!$P$7:$P$67,0))="","—",INDEX(Pipeline!$G$7:$G$67,MATCH(LARGE(Pipeline!$P$7:$P$67,4),Pipeline!$P$7:$P$67,0))),"")</f>
        <v/>
      </c>
      <c r="H20" s="58">
        <f>IFERROR(IF(INDEX(Pipeline!$H$7:$H$67,MATCH(LARGE(Pipeline!$P$7:$P$67,4),Pipeline!$P$7:$P$67,0))="","—",INDEX(Pipeline!$H$7:$H$67,MATCH(LARGE(Pipeline!$P$7:$P$67,4),Pipeline!$P$7:$P$67,0))),"")</f>
        <v/>
      </c>
      <c r="I20" s="30">
        <f>IFERROR(IF(INDEX(Pipeline!$I$7:$I$67,MATCH(LARGE(Pipeline!$P$7:$P$67,4),Pipeline!$P$7:$P$67,0))="","—",INDEX(Pipeline!$I$7:$I$67,MATCH(LARGE(Pipeline!$P$7:$P$67,4),Pipeline!$P$7:$P$67,0))),"")</f>
        <v/>
      </c>
      <c r="J20" s="45">
        <f>IFERROR(IF(INDEX(Pipeline!$J$7:$J$67,MATCH(LARGE(Pipeline!$P$7:$P$67,4),Pipeline!$P$7:$P$67,0))="","—",INDEX(Pipeline!$J$7:$J$67,MATCH(LARGE(Pipeline!$P$7:$P$67,4),Pipeline!$P$7:$P$67,0))),"")</f>
        <v/>
      </c>
      <c r="K20" s="59">
        <f>IFERROR(IF(INDEX(Pipeline!$K$7:$K$67,MATCH(LARGE(Pipeline!$P$7:$P$67,4),Pipeline!$P$7:$P$67,0))="","—",INDEX(Pipeline!$K$7:$K$67,MATCH(LARGE(Pipeline!$P$7:$P$67,4),Pipeline!$P$7:$P$67,0))),"")</f>
        <v/>
      </c>
      <c r="L20" s="58">
        <f>IFERROR(IF(INDEX(Pipeline!$L$7:$L$67,MATCH(LARGE(Pipeline!$P$7:$P$67,4),Pipeline!$P$7:$P$67,0))="","—",INDEX(Pipeline!$L$7:$L$67,MATCH(LARGE(Pipeline!$P$7:$P$67,4),Pipeline!$P$7:$P$67,0))),"")</f>
        <v/>
      </c>
    </row>
    <row r="21">
      <c r="A21" s="32" t="n">
        <v>5</v>
      </c>
      <c r="B21" s="30">
        <f>IFERROR(IF(INDEX(Pipeline!$B$7:$B$67,MATCH(LARGE(Pipeline!$P$7:$P$67,5),Pipeline!$P$7:$P$67,0))="","—",INDEX(Pipeline!$B$7:$B$67,MATCH(LARGE(Pipeline!$P$7:$P$67,5),Pipeline!$P$7:$P$67,0))),"")</f>
        <v/>
      </c>
      <c r="C21" s="30">
        <f>IFERROR(IF(INDEX(Pipeline!$C$7:$C$67,MATCH(LARGE(Pipeline!$P$7:$P$67,5),Pipeline!$P$7:$P$67,0))="","—",INDEX(Pipeline!$C$7:$C$67,MATCH(LARGE(Pipeline!$P$7:$P$67,5),Pipeline!$P$7:$P$67,0))),"")</f>
        <v/>
      </c>
      <c r="D21" s="30">
        <f>IFERROR(IF(INDEX(Pipeline!$E$7:$E$67,MATCH(LARGE(Pipeline!$P$7:$P$67,5),Pipeline!$P$7:$P$67,0))="","—",INDEX(Pipeline!$E$7:$E$67,MATCH(LARGE(Pipeline!$P$7:$P$67,5),Pipeline!$P$7:$P$67,0))),"")</f>
        <v/>
      </c>
      <c r="E21" s="30">
        <f>IFERROR(IF(INDEX(Pipeline!$F$7:$F$67,MATCH(LARGE(Pipeline!$P$7:$P$67,5),Pipeline!$P$7:$P$67,0))="","—",INDEX(Pipeline!$F$7:$F$67,MATCH(LARGE(Pipeline!$P$7:$P$67,5),Pipeline!$P$7:$P$67,0))),"")</f>
        <v/>
      </c>
      <c r="F21" s="30">
        <f>IFERROR(IF(INDEX(Pipeline!$D$7:$D$67,MATCH(LARGE(Pipeline!$P$7:$P$67,5),Pipeline!$P$7:$P$67,0))="","—",INDEX(Pipeline!$D$7:$D$67,MATCH(LARGE(Pipeline!$P$7:$P$67,5),Pipeline!$P$7:$P$67,0))),"")</f>
        <v/>
      </c>
      <c r="G21" s="49">
        <f>IFERROR(IF(INDEX(Pipeline!$G$7:$G$67,MATCH(LARGE(Pipeline!$P$7:$P$67,5),Pipeline!$P$7:$P$67,0))="","—",INDEX(Pipeline!$G$7:$G$67,MATCH(LARGE(Pipeline!$P$7:$P$67,5),Pipeline!$P$7:$P$67,0))),"")</f>
        <v/>
      </c>
      <c r="H21" s="58">
        <f>IFERROR(IF(INDEX(Pipeline!$H$7:$H$67,MATCH(LARGE(Pipeline!$P$7:$P$67,5),Pipeline!$P$7:$P$67,0))="","—",INDEX(Pipeline!$H$7:$H$67,MATCH(LARGE(Pipeline!$P$7:$P$67,5),Pipeline!$P$7:$P$67,0))),"")</f>
        <v/>
      </c>
      <c r="I21" s="30">
        <f>IFERROR(IF(INDEX(Pipeline!$I$7:$I$67,MATCH(LARGE(Pipeline!$P$7:$P$67,5),Pipeline!$P$7:$P$67,0))="","—",INDEX(Pipeline!$I$7:$I$67,MATCH(LARGE(Pipeline!$P$7:$P$67,5),Pipeline!$P$7:$P$67,0))),"")</f>
        <v/>
      </c>
      <c r="J21" s="45">
        <f>IFERROR(IF(INDEX(Pipeline!$J$7:$J$67,MATCH(LARGE(Pipeline!$P$7:$P$67,5),Pipeline!$P$7:$P$67,0))="","—",INDEX(Pipeline!$J$7:$J$67,MATCH(LARGE(Pipeline!$P$7:$P$67,5),Pipeline!$P$7:$P$67,0))),"")</f>
        <v/>
      </c>
      <c r="K21" s="59">
        <f>IFERROR(IF(INDEX(Pipeline!$K$7:$K$67,MATCH(LARGE(Pipeline!$P$7:$P$67,5),Pipeline!$P$7:$P$67,0))="","—",INDEX(Pipeline!$K$7:$K$67,MATCH(LARGE(Pipeline!$P$7:$P$67,5),Pipeline!$P$7:$P$67,0))),"")</f>
        <v/>
      </c>
      <c r="L21" s="58">
        <f>IFERROR(IF(INDEX(Pipeline!$L$7:$L$67,MATCH(LARGE(Pipeline!$P$7:$P$67,5),Pipeline!$P$7:$P$67,0))="","—",INDEX(Pipeline!$L$7:$L$67,MATCH(LARGE(Pipeline!$P$7:$P$67,5),Pipeline!$P$7:$P$67,0))),"")</f>
        <v/>
      </c>
    </row>
    <row r="22">
      <c r="B22" s="33" t="inlineStr">
        <is>
          <t>Total Top 5</t>
        </is>
      </c>
      <c r="G22" s="34">
        <f>SUM(G17:G21)</f>
        <v/>
      </c>
      <c r="H22" s="60">
        <f>SUM(H17:H21)</f>
        <v/>
      </c>
    </row>
    <row r="25" ht="30" customHeight="1">
      <c r="A25" s="25" t="n"/>
      <c r="B25" s="25" t="inlineStr">
        <is>
          <t>Resumen pipeline</t>
        </is>
      </c>
      <c r="C25" s="25" t="inlineStr">
        <is>
          <t>Industrial</t>
        </is>
      </c>
      <c r="D25" s="25" t="inlineStr">
        <is>
          <t>Distribución</t>
        </is>
      </c>
      <c r="E25" s="25" t="inlineStr">
        <is>
          <t>Total</t>
        </is>
      </c>
    </row>
    <row r="26">
      <c r="B26" s="26" t="inlineStr">
        <is>
          <t>N° proyectos (filas)</t>
        </is>
      </c>
      <c r="C26" s="32" t="n">
        <v>41</v>
      </c>
      <c r="D26" s="32">
        <f>COUNTIFS(Pipeline!$A$7:$A$67,"Distribución")</f>
        <v/>
      </c>
      <c r="E26" s="32">
        <f>C26+D26</f>
        <v/>
      </c>
    </row>
    <row r="27">
      <c r="B27" s="26" t="inlineStr">
        <is>
          <t>m² total</t>
        </is>
      </c>
      <c r="C27" s="49" t="n">
        <v>749389</v>
      </c>
      <c r="D27" s="49">
        <f>SUMIFS(Pipeline!$G$7:$G$67,Pipeline!$A$7:$A$67,"Distribución")</f>
        <v/>
      </c>
      <c r="E27" s="49">
        <f>C27+D27</f>
        <v/>
      </c>
    </row>
    <row r="28">
      <c r="B28" s="26" t="inlineStr">
        <is>
          <t>USD total</t>
        </is>
      </c>
      <c r="C28" s="58">
        <f>SUMIFS(Pipeline!$H$7:$H$67,Pipeline!$A$7:$A$67,"Industrial")</f>
        <v/>
      </c>
      <c r="D28" s="58">
        <f>SUMIFS(Pipeline!$H$7:$H$67,Pipeline!$A$7:$A$67,"Distribución")</f>
        <v/>
      </c>
      <c r="E28" s="58">
        <f>C28+D28</f>
        <v/>
      </c>
    </row>
    <row r="29">
      <c r="B29" s="26" t="inlineStr">
        <is>
          <t>Closed Won – N°</t>
        </is>
      </c>
      <c r="C29" s="32">
        <f>COUNTIFS(Pipeline!$A$7:$A$67,"Industrial",Pipeline!$I$7:$I$67,"Closed Won")</f>
        <v/>
      </c>
      <c r="D29" s="32">
        <f>COUNTIFS(Pipeline!$A$7:$A$67,"Distribución",Pipeline!$I$7:$I$67,"Closed Won")</f>
        <v/>
      </c>
      <c r="E29" s="32">
        <f>C29+D29</f>
        <v/>
      </c>
    </row>
    <row r="30">
      <c r="B30" s="26" t="inlineStr">
        <is>
          <t>Closed Won – USD</t>
        </is>
      </c>
      <c r="C30" s="58">
        <f>SUMIFS(Pipeline!$H$7:$H$67,Pipeline!$A$7:$A$67,"Industrial",Pipeline!$I$7:$I$67,"Closed Won")</f>
        <v/>
      </c>
      <c r="D30" s="58">
        <f>SUMIFS(Pipeline!$H$7:$H$67,Pipeline!$A$7:$A$67,"Distribución",Pipeline!$I$7:$I$67,"Closed Won")</f>
        <v/>
      </c>
      <c r="E30" s="58">
        <f>C30+D30</f>
        <v/>
      </c>
    </row>
    <row r="31">
      <c r="B31" s="26" t="inlineStr">
        <is>
          <t>Specification – N°</t>
        </is>
      </c>
      <c r="C31" s="32">
        <f>COUNTIFS(Pipeline!$A$7:$A$67,"Industrial",Pipeline!$I$7:$I$67,"Specification")</f>
        <v/>
      </c>
      <c r="D31" s="32">
        <f>COUNTIFS(Pipeline!$A$7:$A$67,"Distribución",Pipeline!$I$7:$I$67,"Specification")</f>
        <v/>
      </c>
      <c r="E31" s="32">
        <f>C31+D31</f>
        <v/>
      </c>
    </row>
    <row r="32">
      <c r="B32" s="26" t="inlineStr">
        <is>
          <t>Pending – N°</t>
        </is>
      </c>
      <c r="C32" s="32">
        <f>COUNTIFS(Pipeline!$A$7:$A$67,"Industrial",Pipeline!$I$7:$I$67,"Pending")</f>
        <v/>
      </c>
      <c r="D32" s="32">
        <f>COUNTIFS(Pipeline!$A$7:$A$67,"Distribución",Pipeline!$I$7:$I$67,"Pending")</f>
        <v/>
      </c>
      <c r="E32" s="32">
        <f>C32+D32</f>
        <v/>
      </c>
    </row>
    <row r="33">
      <c r="B33" s="26" t="inlineStr">
        <is>
          <t>Pending – USD</t>
        </is>
      </c>
      <c r="C33" s="58">
        <f>SUMIFS(Pipeline!$H$7:$H$67,Pipeline!$A$7:$A$67,"Industrial",Pipeline!$I$7:$I$67,"Pending")</f>
        <v/>
      </c>
      <c r="D33" s="58">
        <f>SUMIFS(Pipeline!$H$7:$H$67,Pipeline!$A$7:$A$67,"Distribución",Pipeline!$I$7:$I$67,"Pending")</f>
        <v/>
      </c>
      <c r="E33" s="58">
        <f>C33+D33</f>
        <v/>
      </c>
    </row>
    <row r="34">
      <c r="B34" s="26" t="inlineStr">
        <is>
          <t>N° proyectos reportado (incl. grupo "Others")</t>
        </is>
      </c>
      <c r="C34" s="37" t="n">
        <v>38</v>
      </c>
      <c r="D34" s="32">
        <f>D26</f>
        <v/>
      </c>
      <c r="E34" s="61">
        <f>C34+D34</f>
        <v/>
      </c>
    </row>
    <row r="35">
      <c r="B35" s="26" t="inlineStr">
        <is>
          <t>Insight (texto para slide)</t>
        </is>
      </c>
      <c r="C35" s="30">
        <f>E34&amp;" proyectos activos · USD "&amp;TEXT(E28/1000000,"0.0")&amp;" M · "&amp;TEXT(E27/1000,"#,##0")&amp;"k m²"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FF061530"/>
    <outlinePr summaryBelow="1" summaryRight="1"/>
    <pageSetUpPr/>
  </sheetPr>
  <dimension ref="A1:W37"/>
  <sheetViews>
    <sheetView showGridLines="0" zoomScaleNormal="100" workbookViewId="0">
      <selection activeCell="E8" sqref="E8"/>
    </sheetView>
  </sheetViews>
  <sheetFormatPr baseColWidth="10" defaultColWidth="8.7109375" defaultRowHeight="15"/>
  <cols>
    <col width="20" customWidth="1" min="1" max="1"/>
    <col width="22" customWidth="1" min="2" max="2"/>
    <col width="15" customWidth="1" min="3" max="3"/>
    <col width="14" customWidth="1" min="4" max="5"/>
    <col width="15" customWidth="1" min="6" max="6"/>
    <col width="12" customWidth="1" min="7" max="7"/>
    <col width="10" customWidth="1" min="8" max="8"/>
    <col width="13" customWidth="1" min="9" max="11"/>
    <col width="12" customWidth="1" min="12" max="12"/>
    <col width="10" customWidth="1" min="13" max="13"/>
    <col width="12" customWidth="1" min="14" max="14"/>
    <col width="8" customWidth="1" min="15" max="15"/>
    <col width="4" customWidth="1" min="16" max="16"/>
    <col width="30" customWidth="1" min="17" max="17"/>
    <col width="10" customWidth="1" min="18" max="18"/>
    <col width="16" customWidth="1" min="20" max="20"/>
    <col width="16" customWidth="1" min="21" max="21"/>
    <col width="12" customWidth="1" min="22" max="22"/>
    <col width="14" customWidth="1" min="23" max="23"/>
  </cols>
  <sheetData>
    <row r="1" ht="18" customHeight="1">
      <c r="A1" s="7" t="inlineStr">
        <is>
          <t>Resumen por canal – Order Intake, Ventas, Budget, Cumplimiento y Backlog (YTD)</t>
        </is>
      </c>
    </row>
    <row r="2">
      <c r="A2" s="8" t="inlineStr">
        <is>
          <t>Alimenta el slide "Sales Performance by Channel (YTD)". Todo es fórmula: se actualiza desde las hojas RSM (detalle por consultor, no se presenta) y 05_Backlog_Canal.</t>
        </is>
      </c>
    </row>
    <row r="4" ht="31.5" customHeight="1">
      <c r="A4" s="9" t="inlineStr">
        <is>
          <t>Canal (slide)</t>
        </is>
      </c>
      <c r="B4" s="9" t="inlineStr">
        <is>
          <t>Hoja RSM fuente</t>
        </is>
      </c>
      <c r="C4" s="9" t="inlineStr">
        <is>
          <t>Order Intake YTD (m²)</t>
        </is>
      </c>
      <c r="D4" s="9" t="inlineStr">
        <is>
          <t>Ventas YTD (m²)</t>
        </is>
      </c>
      <c r="E4" s="9" t="inlineStr">
        <is>
          <t>Budget anterior YTD (m²)</t>
        </is>
      </c>
      <c r="F4" s="9" t="inlineStr">
        <is>
          <t>Brecha vs budget (m²)</t>
        </is>
      </c>
      <c r="G4" s="9" t="inlineStr">
        <is>
          <t>% Cumplimiento</t>
        </is>
      </c>
      <c r="H4" s="9" t="inlineStr">
        <is>
          <t>Semáforo</t>
        </is>
      </c>
      <c r="I4" s="9" t="inlineStr">
        <is>
          <t>Backlog (m²)</t>
        </is>
      </c>
      <c r="J4" s="9" t="inlineStr">
        <is>
          <t>Margen backlog CM</t>
        </is>
      </c>
      <c r="K4" s="9" t="inlineStr">
        <is>
          <t>Margen backlog PY</t>
        </is>
      </c>
      <c r="L4" s="9" t="inlineStr">
        <is>
          <t>Δ margen (pp)</t>
        </is>
      </c>
      <c r="M4" s="9" t="inlineStr">
        <is>
          <t>Mix backlog</t>
        </is>
      </c>
      <c r="N4" s="9" t="inlineStr">
        <is>
          <t>Book-to-bill (OI/Ventas)</t>
        </is>
      </c>
      <c r="P4" s="62" t="inlineStr">
        <is>
          <t>#</t>
        </is>
      </c>
      <c r="Q4" s="62" t="inlineStr">
        <is>
          <t>Ranking cumplimiento (fuente gráfico)</t>
        </is>
      </c>
      <c r="R4" s="62" t="inlineStr">
        <is>
          <t>% Cumpl.</t>
        </is>
      </c>
      <c r="T4" s="105" t="inlineStr">
        <is>
          <t>Budget Junta YTD (m²)</t>
        </is>
      </c>
      <c r="U4" s="105" t="inlineStr">
        <is>
          <t>Brecha vs Junta (m²)</t>
        </is>
      </c>
      <c r="V4" s="105" t="inlineStr">
        <is>
          <t>% Cumpl. Junta</t>
        </is>
      </c>
      <c r="W4" s="105" t="inlineStr">
        <is>
          <t>Semáforo Junta</t>
        </is>
      </c>
    </row>
    <row r="5">
      <c r="A5" s="10" t="inlineStr">
        <is>
          <t>Industrial</t>
        </is>
      </c>
      <c r="B5" s="63" t="inlineStr">
        <is>
          <t>09_RSM_Industrial</t>
        </is>
      </c>
      <c r="C5" s="13">
        <f>INDEX('09_RSM_Industrial'!$C:$C,MATCH("TOTAL CANAL",'09_RSM_Industrial'!$A:$A,0))</f>
        <v/>
      </c>
      <c r="D5" s="13">
        <f>INDEX('09_RSM_Industrial'!$D:$D,MATCH("TOTAL CANAL",'09_RSM_Industrial'!$A:$A,0))</f>
        <v/>
      </c>
      <c r="E5" s="13">
        <f>INDEX('09_RSM_Industrial'!$E:$E,MATCH("TOTAL CANAL",'09_RSM_Industrial'!$A:$A,0))</f>
        <v/>
      </c>
      <c r="F5" s="14">
        <f>D5-E5</f>
        <v/>
      </c>
      <c r="G5" s="15">
        <f>IF(E5=0,0,D5/E5)</f>
        <v/>
      </c>
      <c r="H5" s="16">
        <f>IF(ROUND(G5*100,0)&lt;=60,"Rojo",IF(ROUND(G5*100,0)&lt;=84,"Naranja",IF(ROUND(G5*100,0)&lt;=100,"Verde claro","Verde oscuro")))</f>
        <v/>
      </c>
      <c r="I5" s="13">
        <f>'05_Backlog_Canal'!B5</f>
        <v/>
      </c>
      <c r="J5" s="19">
        <f>'05_Backlog_Canal'!E5</f>
        <v/>
      </c>
      <c r="K5" s="19">
        <f>'05_Backlog_Canal'!F5</f>
        <v/>
      </c>
      <c r="L5" s="64">
        <f>IF(OR(J5="",K5="",K5=0),"n.a.",(J5-K5)*100)</f>
        <v/>
      </c>
      <c r="M5" s="15">
        <f>IFERROR(I5/$I$11,0)</f>
        <v/>
      </c>
      <c r="N5" s="65">
        <f>IFERROR(C5/D5,"")</f>
        <v/>
      </c>
      <c r="O5" s="66">
        <f>G5+(20-ROW())/1000000000</f>
        <v/>
      </c>
      <c r="P5" s="67" t="n">
        <v>1</v>
      </c>
      <c r="Q5" s="11">
        <f>INDEX($A$5:$A$10,MATCH(LARGE($O$5:$O$10,P5),$O$5:$O$10,0))</f>
        <v/>
      </c>
      <c r="R5" s="15">
        <f>INDEX($G$5:$G$10,MATCH(LARGE($O$5:$O$10,P5),$O$5:$O$10,0))</f>
        <v/>
      </c>
      <c r="T5" s="108">
        <f>'21_Ppto_Junta'!N35</f>
        <v/>
      </c>
      <c r="U5" s="108">
        <f>D5-T5</f>
        <v/>
      </c>
      <c r="V5" s="123">
        <f>IF(T5=0,0,D5/T5)</f>
        <v/>
      </c>
      <c r="W5" s="109">
        <f>IF(ROUND(V5*100,0)&lt;=60,"Rojo",IF(ROUND(V5*100,0)&lt;=84,"Naranja",IF(ROUND(V5*100,0)&lt;=100,"Verde claro","Verde oscuro")))</f>
        <v/>
      </c>
    </row>
    <row r="6">
      <c r="A6" s="10" t="inlineStr">
        <is>
          <t>Distribution</t>
        </is>
      </c>
      <c r="B6" s="63" t="inlineStr">
        <is>
          <t>10_RSM_Distribucion</t>
        </is>
      </c>
      <c r="C6" s="13">
        <f>INDEX('10_RSM_Distribucion'!$C:$C,MATCH("TOTAL CANAL",'10_RSM_Distribucion'!$A:$A,0))</f>
        <v/>
      </c>
      <c r="D6" s="13">
        <f>INDEX('10_RSM_Distribucion'!$D:$D,MATCH("TOTAL CANAL",'10_RSM_Distribucion'!$A:$A,0))</f>
        <v/>
      </c>
      <c r="E6" s="13">
        <f>INDEX('10_RSM_Distribucion'!$E:$E,MATCH("TOTAL CANAL",'10_RSM_Distribucion'!$A:$A,0))</f>
        <v/>
      </c>
      <c r="F6" s="14">
        <f>D6-E6</f>
        <v/>
      </c>
      <c r="G6" s="15">
        <f>IF(E6=0,0,D6/E6)</f>
        <v/>
      </c>
      <c r="H6" s="16">
        <f>IF(ROUND(G6*100,0)&lt;=60,"Rojo",IF(ROUND(G6*100,0)&lt;=84,"Naranja",IF(ROUND(G6*100,0)&lt;=100,"Verde claro","Verde oscuro")))</f>
        <v/>
      </c>
      <c r="I6" s="13">
        <f>'05_Backlog_Canal'!B6</f>
        <v/>
      </c>
      <c r="J6" s="19">
        <f>'05_Backlog_Canal'!E6</f>
        <v/>
      </c>
      <c r="K6" s="19">
        <f>'05_Backlog_Canal'!F6</f>
        <v/>
      </c>
      <c r="L6" s="64">
        <f>IF(OR(J6="",K6="",K6=0),"n.a.",(J6-K6)*100)</f>
        <v/>
      </c>
      <c r="M6" s="15">
        <f>IFERROR(I6/$I$11,0)</f>
        <v/>
      </c>
      <c r="N6" s="65">
        <f>IFERROR(C6/D6,"")</f>
        <v/>
      </c>
      <c r="O6" s="66">
        <f>G6+(20-ROW())/1000000000</f>
        <v/>
      </c>
      <c r="P6" s="67" t="n">
        <v>2</v>
      </c>
      <c r="Q6" s="11">
        <f>INDEX($A$5:$A$10,MATCH(LARGE($O$5:$O$10,P6),$O$5:$O$10,0))</f>
        <v/>
      </c>
      <c r="R6" s="15">
        <f>INDEX($G$5:$G$10,MATCH(LARGE($O$5:$O$10,P6),$O$5:$O$10,0))</f>
        <v/>
      </c>
      <c r="T6" s="108">
        <f>'21_Ppto_Junta'!N36</f>
        <v/>
      </c>
      <c r="U6" s="108">
        <f>D6-T6</f>
        <v/>
      </c>
      <c r="V6" s="123">
        <f>IF(T6=0,0,D6/T6)</f>
        <v/>
      </c>
      <c r="W6" s="109">
        <f>IF(ROUND(V6*100,0)&lt;=60,"Rojo",IF(ROUND(V6*100,0)&lt;=84,"Naranja",IF(ROUND(V6*100,0)&lt;=100,"Verde claro","Verde oscuro")))</f>
        <v/>
      </c>
    </row>
    <row r="7">
      <c r="A7" s="10" t="inlineStr">
        <is>
          <t>Other Geographies</t>
        </is>
      </c>
      <c r="B7" s="63" t="inlineStr">
        <is>
          <t>11_RSM_Otras_Geo</t>
        </is>
      </c>
      <c r="C7" s="13">
        <f>INDEX('11_RSM_Otras_Geo'!$C:$C,MATCH("TOTAL CANAL",'11_RSM_Otras_Geo'!$A:$A,0))</f>
        <v/>
      </c>
      <c r="D7" s="13">
        <f>INDEX('11_RSM_Otras_Geo'!$D:$D,MATCH("TOTAL CANAL",'11_RSM_Otras_Geo'!$A:$A,0))</f>
        <v/>
      </c>
      <c r="E7" s="13">
        <f>INDEX('11_RSM_Otras_Geo'!$E:$E,MATCH("TOTAL CANAL",'11_RSM_Otras_Geo'!$A:$A,0))</f>
        <v/>
      </c>
      <c r="F7" s="14">
        <f>D7-E7</f>
        <v/>
      </c>
      <c r="G7" s="15">
        <f>IF(E7=0,0,D7/E7)</f>
        <v/>
      </c>
      <c r="H7" s="16">
        <f>IF(ROUND(G7*100,0)&lt;=60,"Rojo",IF(ROUND(G7*100,0)&lt;=84,"Naranja",IF(ROUND(G7*100,0)&lt;=100,"Verde claro","Verde oscuro")))</f>
        <v/>
      </c>
      <c r="I7" s="13">
        <f>'05_Backlog_Canal'!B7</f>
        <v/>
      </c>
      <c r="J7" s="19">
        <f>'05_Backlog_Canal'!E7</f>
        <v/>
      </c>
      <c r="K7" s="19">
        <f>'05_Backlog_Canal'!F7</f>
        <v/>
      </c>
      <c r="L7" s="64">
        <f>IF(OR(J7="",K7="",K7=0),"n.a.",(J7-K7)*100)</f>
        <v/>
      </c>
      <c r="M7" s="15">
        <f>IFERROR(I7/$I$11,0)</f>
        <v/>
      </c>
      <c r="N7" s="65">
        <f>IFERROR(C7/D7,"")</f>
        <v/>
      </c>
      <c r="O7" s="66">
        <f>G7+(20-ROW())/1000000000</f>
        <v/>
      </c>
      <c r="P7" s="67" t="n">
        <v>3</v>
      </c>
      <c r="Q7" s="11">
        <f>INDEX($A$5:$A$10,MATCH(LARGE($O$5:$O$10,P7),$O$5:$O$10,0))</f>
        <v/>
      </c>
      <c r="R7" s="15">
        <f>INDEX($G$5:$G$10,MATCH(LARGE($O$5:$O$10,P7),$O$5:$O$10,0))</f>
        <v/>
      </c>
      <c r="T7" s="108">
        <f>'21_Ppto_Junta'!N37</f>
        <v/>
      </c>
      <c r="U7" s="108">
        <f>D7-T7</f>
        <v/>
      </c>
      <c r="V7" s="123">
        <f>IF(T7=0,0,D7/T7)</f>
        <v/>
      </c>
      <c r="W7" s="109">
        <f>IF(ROUND(V7*100,0)&lt;=60,"Rojo",IF(ROUND(V7*100,0)&lt;=84,"Naranja",IF(ROUND(V7*100,0)&lt;=100,"Verde claro","Verde oscuro")))</f>
        <v/>
      </c>
    </row>
    <row r="8">
      <c r="A8" s="10" t="inlineStr">
        <is>
          <t>Cold Storage</t>
        </is>
      </c>
      <c r="B8" s="63" t="inlineStr">
        <is>
          <t>12_RSM_Cold_Storage</t>
        </is>
      </c>
      <c r="C8" s="13">
        <f>INDEX('12_RSM_Cold_Storage'!$C:$C,MATCH("TOTAL CANAL",'12_RSM_Cold_Storage'!$A:$A,0))</f>
        <v/>
      </c>
      <c r="D8" s="13">
        <f>INDEX('12_RSM_Cold_Storage'!$D:$D,MATCH("TOTAL CANAL",'12_RSM_Cold_Storage'!$A:$A,0))</f>
        <v/>
      </c>
      <c r="E8" s="13">
        <f>INDEX('12_RSM_Cold_Storage'!$E:$E,MATCH("TOTAL CANAL",'12_RSM_Cold_Storage'!$A:$A,0))</f>
        <v/>
      </c>
      <c r="F8" s="14">
        <f>D8-E8</f>
        <v/>
      </c>
      <c r="G8" s="15">
        <f>IF(E8=0,0,D8/E8)</f>
        <v/>
      </c>
      <c r="H8" s="16">
        <f>IF(ROUND(G8*100,0)&lt;=60,"Rojo",IF(ROUND(G8*100,0)&lt;=84,"Naranja",IF(ROUND(G8*100,0)&lt;=100,"Verde claro","Verde oscuro")))</f>
        <v/>
      </c>
      <c r="I8" s="13">
        <f>'05_Backlog_Canal'!B8</f>
        <v/>
      </c>
      <c r="J8" s="19">
        <f>'05_Backlog_Canal'!E8</f>
        <v/>
      </c>
      <c r="K8" s="19">
        <f>'05_Backlog_Canal'!F8</f>
        <v/>
      </c>
      <c r="L8" s="64">
        <f>IF(OR(J8="",K8="",K8=0),"n.a.",(J8-K8)*100)</f>
        <v/>
      </c>
      <c r="M8" s="15">
        <f>IFERROR(I8/$I$11,0)</f>
        <v/>
      </c>
      <c r="N8" s="65">
        <f>IFERROR(C8/D8,"")</f>
        <v/>
      </c>
      <c r="O8" s="66">
        <f>G8+(20-ROW())/1000000000</f>
        <v/>
      </c>
      <c r="P8" s="67" t="n">
        <v>4</v>
      </c>
      <c r="Q8" s="11">
        <f>INDEX($A$5:$A$10,MATCH(LARGE($O$5:$O$10,P8),$O$5:$O$10,0))</f>
        <v/>
      </c>
      <c r="R8" s="15">
        <f>INDEX($G$5:$G$10,MATCH(LARGE($O$5:$O$10,P8),$O$5:$O$10,0))</f>
        <v/>
      </c>
      <c r="T8" s="108">
        <f>'21_Ppto_Junta'!N38</f>
        <v/>
      </c>
      <c r="U8" s="108">
        <f>D8-T8</f>
        <v/>
      </c>
      <c r="V8" s="123">
        <f>IF(T8=0,0,D8/T8)</f>
        <v/>
      </c>
      <c r="W8" s="109">
        <f>IF(ROUND(V8*100,0)&lt;=60,"Rojo",IF(ROUND(V8*100,0)&lt;=84,"Naranja",IF(ROUND(V8*100,0)&lt;=100,"Verde claro","Verde oscuro")))</f>
        <v/>
      </c>
    </row>
    <row r="9">
      <c r="A9" s="10" t="inlineStr">
        <is>
          <t>Site Cali</t>
        </is>
      </c>
      <c r="B9" s="63" t="inlineStr">
        <is>
          <t>13_RSM_Site_Cali</t>
        </is>
      </c>
      <c r="C9" s="13">
        <f>INDEX('13_RSM_Site_Cali'!$C:$C,MATCH("TOTAL CANAL",'13_RSM_Site_Cali'!$A:$A,0))</f>
        <v/>
      </c>
      <c r="D9" s="13">
        <f>INDEX('13_RSM_Site_Cali'!$D:$D,MATCH("TOTAL CANAL",'13_RSM_Site_Cali'!$A:$A,0))</f>
        <v/>
      </c>
      <c r="E9" s="13">
        <f>INDEX('13_RSM_Site_Cali'!$E:$E,MATCH("TOTAL CANAL",'13_RSM_Site_Cali'!$A:$A,0))</f>
        <v/>
      </c>
      <c r="F9" s="14">
        <f>D9-E9</f>
        <v/>
      </c>
      <c r="G9" s="15">
        <f>IF(E9=0,0,D9/E9)</f>
        <v/>
      </c>
      <c r="H9" s="16">
        <f>IF(ROUND(G9*100,0)&lt;=60,"Rojo",IF(ROUND(G9*100,0)&lt;=84,"Naranja",IF(ROUND(G9*100,0)&lt;=100,"Verde claro","Verde oscuro")))</f>
        <v/>
      </c>
      <c r="I9" s="13">
        <f>'05_Backlog_Canal'!B9</f>
        <v/>
      </c>
      <c r="J9" s="19">
        <f>'05_Backlog_Canal'!E9</f>
        <v/>
      </c>
      <c r="K9" s="19">
        <f>'05_Backlog_Canal'!F9</f>
        <v/>
      </c>
      <c r="L9" s="64">
        <f>IF(OR(J9="",K9="",K9=0),"n.a.",(J9-K9)*100)</f>
        <v/>
      </c>
      <c r="M9" s="15">
        <f>IFERROR(I9/$I$11,0)</f>
        <v/>
      </c>
      <c r="N9" s="65">
        <f>IFERROR(C9/D9,"")</f>
        <v/>
      </c>
      <c r="O9" s="66">
        <f>G9+(20-ROW())/1000000000</f>
        <v/>
      </c>
      <c r="P9" s="67" t="n">
        <v>5</v>
      </c>
      <c r="Q9" s="11">
        <f>INDEX($A$5:$A$10,MATCH(LARGE($O$5:$O$10,P9),$O$5:$O$10,0))</f>
        <v/>
      </c>
      <c r="R9" s="15">
        <f>INDEX($G$5:$G$10,MATCH(LARGE($O$5:$O$10,P9),$O$5:$O$10,0))</f>
        <v/>
      </c>
      <c r="T9" s="108">
        <f>'21_Ppto_Junta'!N39</f>
        <v/>
      </c>
      <c r="U9" s="108">
        <f>D9-T9</f>
        <v/>
      </c>
      <c r="V9" s="123">
        <f>IF(T9=0,0,D9/T9)</f>
        <v/>
      </c>
      <c r="W9" s="109">
        <f>IF(ROUND(V9*100,0)&lt;=60,"Rojo",IF(ROUND(V9*100,0)&lt;=84,"Naranja",IF(ROUND(V9*100,0)&lt;=100,"Verde claro","Verde oscuro")))</f>
        <v/>
      </c>
    </row>
    <row r="10">
      <c r="A10" s="10" t="inlineStr">
        <is>
          <t>Alternative Sales</t>
        </is>
      </c>
      <c r="B10" s="63" t="inlineStr">
        <is>
          <t>14_RSM_Vtas_Alt</t>
        </is>
      </c>
      <c r="C10" s="13">
        <f>INDEX('14_RSM_Vtas_Alt'!$C:$C,MATCH("TOTAL CANAL",'14_RSM_Vtas_Alt'!$A:$A,0))</f>
        <v/>
      </c>
      <c r="D10" s="13">
        <f>INDEX('14_RSM_Vtas_Alt'!$D:$D,MATCH("TOTAL CANAL",'14_RSM_Vtas_Alt'!$A:$A,0))</f>
        <v/>
      </c>
      <c r="E10" s="13">
        <f>INDEX('14_RSM_Vtas_Alt'!$E:$E,MATCH("TOTAL CANAL",'14_RSM_Vtas_Alt'!$A:$A,0))</f>
        <v/>
      </c>
      <c r="F10" s="14">
        <f>D10-E10</f>
        <v/>
      </c>
      <c r="G10" s="15">
        <f>IF(E10=0,0,D10/E10)</f>
        <v/>
      </c>
      <c r="H10" s="16">
        <f>IF(ROUND(G10*100,0)&lt;=60,"Rojo",IF(ROUND(G10*100,0)&lt;=84,"Naranja",IF(ROUND(G10*100,0)&lt;=100,"Verde claro","Verde oscuro")))</f>
        <v/>
      </c>
      <c r="I10" s="13">
        <f>'05_Backlog_Canal'!B10</f>
        <v/>
      </c>
      <c r="J10" s="19">
        <f>'05_Backlog_Canal'!E10</f>
        <v/>
      </c>
      <c r="K10" s="19">
        <f>'05_Backlog_Canal'!F10</f>
        <v/>
      </c>
      <c r="L10" s="64">
        <f>IF(OR(J10="",K10="",K10=0),"n.a.",(J10-K10)*100)</f>
        <v/>
      </c>
      <c r="M10" s="15">
        <f>IFERROR(I10/$I$11,0)</f>
        <v/>
      </c>
      <c r="N10" s="65">
        <f>IFERROR(C10/D10,"")</f>
        <v/>
      </c>
      <c r="O10" s="66">
        <f>G10+(20-ROW())/1000000000</f>
        <v/>
      </c>
      <c r="P10" s="67" t="n">
        <v>6</v>
      </c>
      <c r="Q10" s="11">
        <f>INDEX($A$5:$A$10,MATCH(LARGE($O$5:$O$10,P10),$O$5:$O$10,0))</f>
        <v/>
      </c>
      <c r="R10" s="15">
        <f>INDEX($G$5:$G$10,MATCH(LARGE($O$5:$O$10,P10),$O$5:$O$10,0))</f>
        <v/>
      </c>
      <c r="T10" s="108">
        <f>'21_Ppto_Junta'!N40</f>
        <v/>
      </c>
      <c r="U10" s="108">
        <f>D10-T10</f>
        <v/>
      </c>
      <c r="V10" s="123">
        <f>IF(T10=0,0,D10/T10)</f>
        <v/>
      </c>
      <c r="W10" s="109">
        <f>IF(ROUND(V10*100,0)&lt;=60,"Rojo",IF(ROUND(V10*100,0)&lt;=84,"Naranja",IF(ROUND(V10*100,0)&lt;=100,"Verde claro","Verde oscuro")))</f>
        <v/>
      </c>
    </row>
    <row r="11">
      <c r="A11" s="68" t="inlineStr">
        <is>
          <t>TOTAL</t>
        </is>
      </c>
      <c r="B11" s="68" t="n"/>
      <c r="C11" s="69">
        <f>SUM(C5:C10)</f>
        <v/>
      </c>
      <c r="D11" s="69">
        <f>SUM(D5:D10)</f>
        <v/>
      </c>
      <c r="E11" s="69">
        <f>SUM(E5:E10)</f>
        <v/>
      </c>
      <c r="F11" s="69">
        <f>SUM(F5:F10)</f>
        <v/>
      </c>
      <c r="G11" s="70">
        <f>IF(E11=0,0,D11/E11)</f>
        <v/>
      </c>
      <c r="H11" s="68">
        <f>IF(ROUND(G11*100,0)&lt;=60,"Rojo",IF(ROUND(G11*100,0)&lt;=84,"Naranja",IF(ROUND(G11*100,0)&lt;=100,"Verde claro","Verde oscuro")))</f>
        <v/>
      </c>
      <c r="I11" s="69">
        <f>SUM(I5:I10)</f>
        <v/>
      </c>
      <c r="J11" s="71">
        <f>IFERROR(SUMPRODUCT(I5:I10,J5:J10)/I11,0)</f>
        <v/>
      </c>
      <c r="K11" s="71">
        <f>IFERROR(SUMPRODUCT('05_Backlog_Canal'!C5:C10,K5:K10)/'05_Backlog_Canal'!C11,0)</f>
        <v/>
      </c>
      <c r="L11" s="72">
        <f>(J11-K11)*100</f>
        <v/>
      </c>
      <c r="M11" s="70">
        <f>SUM(M5:M10)</f>
        <v/>
      </c>
      <c r="N11" s="73">
        <f>IFERROR(C11/D11,"")</f>
        <v/>
      </c>
      <c r="T11" s="111">
        <f>SUM(T5:T10)</f>
        <v/>
      </c>
      <c r="U11" s="111">
        <f>SUM(U5:U10)</f>
        <v/>
      </c>
      <c r="V11" s="125">
        <f>IF(T11=0,0,D11/T11)</f>
        <v/>
      </c>
      <c r="W11" s="110">
        <f>IF(ROUND(V11*100,0)&lt;=60,"Rojo",IF(ROUND(V11*100,0)&lt;=84,"Naranja",IF(ROUND(V11*100,0)&lt;=100,"Verde claro","Verde oscuro")))</f>
        <v/>
      </c>
    </row>
    <row r="12">
      <c r="T12" s="102" t="inlineStr">
        <is>
          <t>Budget Junta = total Junta YTD × % participación del presupuesto anterior (o de la Junta, según 21_Ppto_Junta B5).</t>
        </is>
      </c>
    </row>
    <row r="13">
      <c r="A13" s="5" t="inlineStr">
        <is>
          <t>KPIs del slide</t>
        </is>
      </c>
    </row>
    <row r="14">
      <c r="A14" s="10" t="inlineStr">
        <is>
          <t>Order Intake YTD (m²)</t>
        </is>
      </c>
      <c r="C14" s="14">
        <f>C11</f>
        <v/>
      </c>
    </row>
    <row r="15">
      <c r="A15" s="10" t="inlineStr">
        <is>
          <t>Ventas YTD (m²)</t>
        </is>
      </c>
      <c r="C15" s="14">
        <f>D11</f>
        <v/>
      </c>
    </row>
    <row r="16">
      <c r="A16" s="10" t="inlineStr">
        <is>
          <t>Budget Junta YTD (m²)</t>
        </is>
      </c>
      <c r="C16" s="14">
        <f>T11</f>
        <v/>
      </c>
    </row>
    <row r="17">
      <c r="A17" s="10" t="inlineStr">
        <is>
          <t>Brecha vs Junta (m²)</t>
        </is>
      </c>
      <c r="C17" s="14">
        <f>U11</f>
        <v/>
      </c>
    </row>
    <row r="18">
      <c r="A18" s="10" t="inlineStr">
        <is>
          <t>% Cumplimiento vs Junta</t>
        </is>
      </c>
      <c r="C18" s="15">
        <f>V11</f>
        <v/>
      </c>
    </row>
    <row r="19">
      <c r="A19" s="10" t="inlineStr">
        <is>
          <t>Canales ≥100% budget Junta</t>
        </is>
      </c>
      <c r="C19" s="11">
        <f>COUNTIF(V5:V10,"&gt;=1")&amp;" de 6"</f>
        <v/>
      </c>
    </row>
    <row r="20">
      <c r="A20" s="10" t="inlineStr">
        <is>
          <t>Backlog total (m²)</t>
        </is>
      </c>
      <c r="C20" s="14">
        <f>I11</f>
        <v/>
      </c>
    </row>
    <row r="21">
      <c r="A21" s="10" t="inlineStr">
        <is>
          <t>Margen backlog ponderado</t>
        </is>
      </c>
      <c r="C21" s="74">
        <f>J11</f>
        <v/>
      </c>
    </row>
    <row r="22">
      <c r="A22" s="10" t="inlineStr">
        <is>
          <t>Control: backlog vs IMP (hoja 04)</t>
        </is>
      </c>
      <c r="C22" s="14">
        <f>I11-'04_Backlog'!B5</f>
        <v/>
      </c>
    </row>
    <row r="23">
      <c r="A23" s="10" t="inlineStr">
        <is>
          <t>% de la brecha explicado por Industrial + Otras Geo</t>
        </is>
      </c>
      <c r="C23" s="15">
        <f>IFERROR((U5+U7)/U11,0)</f>
        <v/>
      </c>
    </row>
    <row r="26">
      <c r="A26" s="8" t="inlineStr">
        <is>
          <t>Semáforo cumplimiento: Rojo 0–60% · Naranja 61–84% · Verde claro 85–100% · Verde oscuro &gt;100%</t>
        </is>
      </c>
    </row>
    <row r="28">
      <c r="A28" s="5" t="inlineStr">
        <is>
          <t>Fuente slide "Sales vs Budget &amp; Margin Evolution" (k m² y margen de backlog PY → CM)</t>
        </is>
      </c>
    </row>
    <row r="29" ht="31.5" customHeight="1">
      <c r="A29" s="9" t="inlineStr">
        <is>
          <t>Canal</t>
        </is>
      </c>
      <c r="B29" s="9" t="inlineStr">
        <is>
          <t>Ventas YTD (k m²)</t>
        </is>
      </c>
      <c r="C29" s="9" t="inlineStr">
        <is>
          <t>Budget Junta YTD (k m²)</t>
        </is>
      </c>
      <c r="D29" s="9" t="inlineStr">
        <is>
          <t>Margen Sep-25 (PY)</t>
        </is>
      </c>
      <c r="E29" s="9" t="inlineStr">
        <is>
          <t>Margen Sep-26 (CM)</t>
        </is>
      </c>
      <c r="F29" s="9" t="inlineStr">
        <is>
          <t>Δ margen (pp)</t>
        </is>
      </c>
      <c r="G29" s="9" t="inlineStr">
        <is>
          <t>% Cumplimiento (Junta)</t>
        </is>
      </c>
    </row>
    <row r="30">
      <c r="A30" s="10">
        <f>A5</f>
        <v/>
      </c>
      <c r="B30" s="75">
        <f>D5/1000</f>
        <v/>
      </c>
      <c r="C30" s="75">
        <f>T5/1000</f>
        <v/>
      </c>
      <c r="D30" s="74">
        <f>IF(K5=0,"n.a.",K5)</f>
        <v/>
      </c>
      <c r="E30" s="74">
        <f>J5</f>
        <v/>
      </c>
      <c r="F30" s="64">
        <f>L5</f>
        <v/>
      </c>
      <c r="G30" s="15">
        <f>V5</f>
        <v/>
      </c>
    </row>
    <row r="31">
      <c r="A31" s="10">
        <f>A6</f>
        <v/>
      </c>
      <c r="B31" s="75">
        <f>D6/1000</f>
        <v/>
      </c>
      <c r="C31" s="75">
        <f>T6/1000</f>
        <v/>
      </c>
      <c r="D31" s="74">
        <f>IF(K6=0,"n.a.",K6)</f>
        <v/>
      </c>
      <c r="E31" s="74">
        <f>J6</f>
        <v/>
      </c>
      <c r="F31" s="64">
        <f>L6</f>
        <v/>
      </c>
      <c r="G31" s="15">
        <f>V6</f>
        <v/>
      </c>
    </row>
    <row r="32">
      <c r="A32" s="10">
        <f>A7</f>
        <v/>
      </c>
      <c r="B32" s="75">
        <f>D7/1000</f>
        <v/>
      </c>
      <c r="C32" s="75">
        <f>T7/1000</f>
        <v/>
      </c>
      <c r="D32" s="74">
        <f>IF(K7=0,"n.a.",K7)</f>
        <v/>
      </c>
      <c r="E32" s="74">
        <f>J7</f>
        <v/>
      </c>
      <c r="F32" s="64">
        <f>L7</f>
        <v/>
      </c>
      <c r="G32" s="15">
        <f>V7</f>
        <v/>
      </c>
    </row>
    <row r="33">
      <c r="A33" s="10">
        <f>A8</f>
        <v/>
      </c>
      <c r="B33" s="75">
        <f>D8/1000</f>
        <v/>
      </c>
      <c r="C33" s="75">
        <f>T8/1000</f>
        <v/>
      </c>
      <c r="D33" s="74">
        <f>IF(K8=0,"n.a.",K8)</f>
        <v/>
      </c>
      <c r="E33" s="74">
        <f>J8</f>
        <v/>
      </c>
      <c r="F33" s="64">
        <f>L8</f>
        <v/>
      </c>
      <c r="G33" s="15">
        <f>V8</f>
        <v/>
      </c>
    </row>
    <row r="34">
      <c r="A34" s="10">
        <f>A9</f>
        <v/>
      </c>
      <c r="B34" s="75">
        <f>D9/1000</f>
        <v/>
      </c>
      <c r="C34" s="75">
        <f>T9/1000</f>
        <v/>
      </c>
      <c r="D34" s="74">
        <f>IF(K9=0,"n.a.",K9)</f>
        <v/>
      </c>
      <c r="E34" s="74">
        <f>J9</f>
        <v/>
      </c>
      <c r="F34" s="64">
        <f>L9</f>
        <v/>
      </c>
      <c r="G34" s="15">
        <f>V9</f>
        <v/>
      </c>
    </row>
    <row r="35">
      <c r="A35" s="10">
        <f>A10</f>
        <v/>
      </c>
      <c r="B35" s="75">
        <f>D10/1000</f>
        <v/>
      </c>
      <c r="C35" s="75">
        <f>T10/1000</f>
        <v/>
      </c>
      <c r="D35" s="74">
        <f>IF(K10=0,"n.a.",K10)</f>
        <v/>
      </c>
      <c r="E35" s="74">
        <f>J10</f>
        <v/>
      </c>
      <c r="F35" s="64">
        <f>L10</f>
        <v/>
      </c>
      <c r="G35" s="15">
        <f>V10</f>
        <v/>
      </c>
    </row>
    <row r="36">
      <c r="A36" s="68">
        <f>A11</f>
        <v/>
      </c>
      <c r="B36" s="76">
        <f>D11/1000</f>
        <v/>
      </c>
      <c r="C36" s="76">
        <f>T11/1000</f>
        <v/>
      </c>
      <c r="D36" s="71">
        <f>IF(K11=0,"n.a.",K11)</f>
        <v/>
      </c>
      <c r="E36" s="71">
        <f>J11</f>
        <v/>
      </c>
      <c r="F36" s="72">
        <f>L11</f>
        <v/>
      </c>
      <c r="G36" s="70">
        <f>V11</f>
        <v/>
      </c>
    </row>
    <row r="37">
      <c r="A37" s="8" t="inlineStr">
        <is>
          <t>Nota: n.a. en margen PY = canal sin base PY. Para ver evolución mensual, agregar ventas/budget/margen por mes por canal.</t>
        </is>
      </c>
    </row>
  </sheetData>
  <conditionalFormatting sqref="G5:G11">
    <cfRule type="cellIs" priority="2" operator="greaterThan" dxfId="41">
      <formula>1.005</formula>
    </cfRule>
    <cfRule type="cellIs" priority="3" operator="between" dxfId="40">
      <formula>0.845</formula>
      <formula>1.005</formula>
    </cfRule>
    <cfRule type="cellIs" priority="4" operator="between" dxfId="39">
      <formula>0.605</formula>
      <formula>0.845</formula>
    </cfRule>
    <cfRule type="cellIs" priority="5" operator="lessThan" dxfId="0">
      <formula>0.605</formula>
    </cfRule>
  </conditionalFormatting>
  <conditionalFormatting sqref="G30:G36">
    <cfRule type="cellIs" priority="10" operator="greaterThan" dxfId="41">
      <formula>1.005</formula>
    </cfRule>
    <cfRule type="cellIs" priority="11" operator="between" dxfId="40">
      <formula>0.845</formula>
      <formula>1.005</formula>
    </cfRule>
    <cfRule type="cellIs" priority="12" operator="between" dxfId="39">
      <formula>0.605</formula>
      <formula>0.845</formula>
    </cfRule>
    <cfRule type="cellIs" priority="13" operator="lessThan" dxfId="0">
      <formula>0.605</formula>
    </cfRule>
  </conditionalFormatting>
  <conditionalFormatting sqref="R5:R10">
    <cfRule type="cellIs" priority="6" operator="greaterThan" dxfId="41">
      <formula>1.005</formula>
    </cfRule>
    <cfRule type="cellIs" priority="7" operator="between" dxfId="40">
      <formula>0.845</formula>
      <formula>1.005</formula>
    </cfRule>
    <cfRule type="cellIs" priority="8" operator="between" dxfId="39">
      <formula>0.605</formula>
      <formula>0.845</formula>
    </cfRule>
    <cfRule type="cellIs" priority="9" operator="lessThan" dxfId="0">
      <formula>0.605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061530"/>
    <outlinePr summaryBelow="1" summaryRight="1"/>
    <pageSetUpPr/>
  </sheetPr>
  <dimension ref="A1:P25"/>
  <sheetViews>
    <sheetView showGridLines="0" zoomScaleNormal="100" workbookViewId="0">
      <selection activeCell="E39" sqref="E38:E39"/>
    </sheetView>
  </sheetViews>
  <sheetFormatPr baseColWidth="10" defaultColWidth="8.7109375" defaultRowHeight="15"/>
  <cols>
    <col width="38" customWidth="1" min="1" max="1"/>
    <col width="22" customWidth="1" min="2" max="2"/>
    <col width="13" customWidth="1" min="3" max="4"/>
    <col width="14" customWidth="1" min="5" max="5"/>
    <col width="11" customWidth="1" min="6" max="6"/>
    <col width="10" customWidth="1" min="7" max="7"/>
    <col width="13" customWidth="1" min="8" max="8"/>
    <col width="12" customWidth="1" min="9" max="10"/>
    <col width="2" customWidth="1" min="11" max="11"/>
    <col width="5" customWidth="1" min="12" max="12"/>
    <col width="26" customWidth="1" min="13" max="13"/>
    <col width="10" customWidth="1" min="14" max="14"/>
    <col width="12" customWidth="1" min="15" max="16"/>
  </cols>
  <sheetData>
    <row r="1" ht="18" customHeight="1">
      <c r="A1" s="2" t="inlineStr">
        <is>
          <t>09 · RSM Industrial – Cumplimiento y Backlog (YTD)  [detalle interno – no se presenta en el deck]</t>
        </is>
      </c>
    </row>
    <row r="2">
      <c r="A2" s="24" t="inlineStr">
        <is>
          <t>Diligencie la tabla izquierda; el ranking (derecha), totales y semáforos se calculan solos</t>
        </is>
      </c>
    </row>
    <row r="4" ht="30" customHeight="1">
      <c r="A4" s="25" t="inlineStr">
        <is>
          <t>RSM (nombre completo)</t>
        </is>
      </c>
      <c r="B4" s="25" t="inlineStr">
        <is>
          <t>Nombre corto (slide)</t>
        </is>
      </c>
      <c r="C4" s="25" t="inlineStr">
        <is>
          <t>Order Intake m²</t>
        </is>
      </c>
      <c r="D4" s="25" t="inlineStr">
        <is>
          <t>Ventas Total m²</t>
        </is>
      </c>
      <c r="E4" s="25" t="inlineStr">
        <is>
          <t>Budget m² (paneles)</t>
        </is>
      </c>
      <c r="F4" s="25" t="inlineStr">
        <is>
          <t>% Cumpl. Budget</t>
        </is>
      </c>
      <c r="G4" s="25" t="inlineStr">
        <is>
          <t>Semáforo</t>
        </is>
      </c>
      <c r="H4" s="25" t="inlineStr">
        <is>
          <t>Backlog paneles m²</t>
        </is>
      </c>
      <c r="I4" s="25" t="inlineStr">
        <is>
          <t>Backlog otros m²</t>
        </is>
      </c>
      <c r="J4" s="25" t="inlineStr">
        <is>
          <t>Clave orden (aux)</t>
        </is>
      </c>
      <c r="L4" s="77" t="inlineStr">
        <is>
          <t>#</t>
        </is>
      </c>
      <c r="M4" s="77" t="inlineStr">
        <is>
          <t>Ranking – Fuente gráfico (mayor → menor cumplimiento)</t>
        </is>
      </c>
      <c r="N4" s="77" t="inlineStr">
        <is>
          <t>% Cumpl.</t>
        </is>
      </c>
      <c r="O4" s="77" t="inlineStr">
        <is>
          <t>Ventas m²</t>
        </is>
      </c>
      <c r="P4" s="77" t="inlineStr">
        <is>
          <t>Budget m²</t>
        </is>
      </c>
    </row>
    <row r="5">
      <c r="A5" s="31" t="inlineStr">
        <is>
          <t>ARIAS GIRALDO ANA ISABEL</t>
        </is>
      </c>
      <c r="B5" s="31" t="inlineStr">
        <is>
          <t>Ana I. Arias</t>
        </is>
      </c>
      <c r="C5" s="27" t="n">
        <v>135074</v>
      </c>
      <c r="D5" s="78" t="n">
        <v>140201</v>
      </c>
      <c r="E5" s="27" t="n">
        <v>83093</v>
      </c>
      <c r="F5" s="45">
        <f>IF(A5="","",IF(E5=0,0,D5/E5))</f>
        <v/>
      </c>
      <c r="G5" s="79">
        <f>IF(F5="","",IF(F5&gt;=1,"Verde",IF(F5&gt;=0.7,"Ámbar","Rojo")))</f>
        <v/>
      </c>
      <c r="H5" s="27" t="n">
        <v>74948</v>
      </c>
      <c r="I5" s="27" t="n">
        <v>0</v>
      </c>
      <c r="J5" s="80">
        <f>IF(A5="","",F5+D5/1000000000+(100-ROW())/1000000000000)</f>
        <v/>
      </c>
      <c r="L5" s="32" t="n">
        <v>1</v>
      </c>
      <c r="M5" s="30">
        <f>IF(L5&gt;COUNT($J$5:$J$17),"",INDEX($B$5:$B$17,MATCH(LARGE($J$5:$J$17,L5),$J$5:$J$17,0)))</f>
        <v/>
      </c>
      <c r="N5" s="45">
        <f>IF(M5="","",INDEX($F$5:$F$17,MATCH(LARGE($J$5:$J$17,L5),$J$5:$J$17,0)))</f>
        <v/>
      </c>
      <c r="O5" s="49">
        <f>IF(M5="","",INDEX($D$5:$D$17,MATCH(LARGE($J$5:$J$17,L5),$J$5:$J$17,0)))</f>
        <v/>
      </c>
      <c r="P5" s="49">
        <f>IF(M5="","",INDEX($E$5:$E$17,MATCH(LARGE($J$5:$J$17,L5),$J$5:$J$17,0)))</f>
        <v/>
      </c>
    </row>
    <row r="6">
      <c r="A6" s="31" t="inlineStr">
        <is>
          <t>EJECUTIVO VENTAS ZONA NORTE</t>
        </is>
      </c>
      <c r="B6" s="31" t="inlineStr">
        <is>
          <t>Ejec. Zona Norte</t>
        </is>
      </c>
      <c r="C6" s="27">
        <f>47727+2040+2699</f>
        <v/>
      </c>
      <c r="D6" s="78">
        <f>30473+4728</f>
        <v/>
      </c>
      <c r="E6" s="27">
        <f>36220+27698</f>
        <v/>
      </c>
      <c r="F6" s="45">
        <f>IF(A6="","",IF(E6=0,0,D6/E6))</f>
        <v/>
      </c>
      <c r="G6" s="79">
        <f>IF(F6="","",IF(F6&gt;=1,"Verde",IF(F6&gt;=0.7,"Ámbar","Rojo")))</f>
        <v/>
      </c>
      <c r="H6" s="27" t="n">
        <v>29686</v>
      </c>
      <c r="I6" s="27" t="n">
        <v>0</v>
      </c>
      <c r="J6" s="80">
        <f>IF(A6="","",F6+D6/1000000000+(100-ROW())/1000000000000)</f>
        <v/>
      </c>
      <c r="L6" s="32" t="n">
        <v>2</v>
      </c>
      <c r="M6" s="30">
        <f>IF(L6&gt;COUNT($J$5:$J$17),"",INDEX($B$5:$B$17,MATCH(LARGE($J$5:$J$17,L6),$J$5:$J$17,0)))</f>
        <v/>
      </c>
      <c r="N6" s="45">
        <f>IF(M6="","",INDEX($F$5:$F$17,MATCH(LARGE($J$5:$J$17,L6),$J$5:$J$17,0)))</f>
        <v/>
      </c>
      <c r="O6" s="49">
        <f>IF(M6="","",INDEX($D$5:$D$17,MATCH(LARGE($J$5:$J$17,L6),$J$5:$J$17,0)))</f>
        <v/>
      </c>
      <c r="P6" s="49">
        <f>IF(M6="","",INDEX($E$5:$E$17,MATCH(LARGE($J$5:$J$17,L6),$J$5:$J$17,0)))</f>
        <v/>
      </c>
    </row>
    <row r="7">
      <c r="A7" s="31" t="inlineStr">
        <is>
          <t>GUERRERO ESPINOSA JULIO CESAR</t>
        </is>
      </c>
      <c r="B7" s="31" t="inlineStr">
        <is>
          <t>Julio C. Guerrero</t>
        </is>
      </c>
      <c r="C7" s="27" t="n">
        <v>115336</v>
      </c>
      <c r="D7" s="78" t="n">
        <v>103583</v>
      </c>
      <c r="E7" s="27" t="n">
        <v>73860</v>
      </c>
      <c r="F7" s="45">
        <f>IF(A7="","",IF(E7=0,0,D7/E7))</f>
        <v/>
      </c>
      <c r="G7" s="79">
        <f>IF(F7="","",IF(F7&gt;=1,"Verde",IF(F7&gt;=0.7,"Ámbar","Rojo")))</f>
        <v/>
      </c>
      <c r="H7" s="27" t="n">
        <v>18759</v>
      </c>
      <c r="I7" s="27" t="n">
        <v>0</v>
      </c>
      <c r="J7" s="80">
        <f>IF(A7="","",F7+D7/1000000000+(100-ROW())/1000000000000)</f>
        <v/>
      </c>
      <c r="L7" s="32" t="n">
        <v>3</v>
      </c>
      <c r="M7" s="30">
        <f>IF(L7&gt;COUNT($J$5:$J$17),"",INDEX($B$5:$B$17,MATCH(LARGE($J$5:$J$17,L7),$J$5:$J$17,0)))</f>
        <v/>
      </c>
      <c r="N7" s="45">
        <f>IF(M7="","",INDEX($F$5:$F$17,MATCH(LARGE($J$5:$J$17,L7),$J$5:$J$17,0)))</f>
        <v/>
      </c>
      <c r="O7" s="49">
        <f>IF(M7="","",INDEX($D$5:$D$17,MATCH(LARGE($J$5:$J$17,L7),$J$5:$J$17,0)))</f>
        <v/>
      </c>
      <c r="P7" s="49">
        <f>IF(M7="","",INDEX($E$5:$E$17,MATCH(LARGE($J$5:$J$17,L7),$J$5:$J$17,0)))</f>
        <v/>
      </c>
    </row>
    <row r="8">
      <c r="A8" s="31" t="inlineStr">
        <is>
          <t>CALDERON CHANTRE DIEGO ALFONSO</t>
        </is>
      </c>
      <c r="B8" s="31" t="inlineStr">
        <is>
          <t>Diego A. Calderón</t>
        </is>
      </c>
      <c r="C8" s="27" t="n">
        <v>42594</v>
      </c>
      <c r="D8" s="78" t="n">
        <v>29075</v>
      </c>
      <c r="E8" s="27" t="n">
        <v>35456</v>
      </c>
      <c r="F8" s="45">
        <f>IF(A8="","",IF(E8=0,0,D8/E8))</f>
        <v/>
      </c>
      <c r="G8" s="79">
        <f>IF(F8="","",IF(F8&gt;=1,"Verde",IF(F8&gt;=0.7,"Ámbar","Rojo")))</f>
        <v/>
      </c>
      <c r="H8" s="27" t="n">
        <v>27745</v>
      </c>
      <c r="I8" s="27" t="n">
        <v>0</v>
      </c>
      <c r="J8" s="80">
        <f>IF(A8="","",F8+D8/1000000000+(100-ROW())/1000000000000)</f>
        <v/>
      </c>
      <c r="L8" s="32" t="n">
        <v>4</v>
      </c>
      <c r="M8" s="30">
        <f>IF(L8&gt;COUNT($J$5:$J$17),"",INDEX($B$5:$B$17,MATCH(LARGE($J$5:$J$17,L8),$J$5:$J$17,0)))</f>
        <v/>
      </c>
      <c r="N8" s="45">
        <f>IF(M8="","",INDEX($F$5:$F$17,MATCH(LARGE($J$5:$J$17,L8),$J$5:$J$17,0)))</f>
        <v/>
      </c>
      <c r="O8" s="49">
        <f>IF(M8="","",INDEX($D$5:$D$17,MATCH(LARGE($J$5:$J$17,L8),$J$5:$J$17,0)))</f>
        <v/>
      </c>
      <c r="P8" s="49">
        <f>IF(M8="","",INDEX($E$5:$E$17,MATCH(LARGE($J$5:$J$17,L8),$J$5:$J$17,0)))</f>
        <v/>
      </c>
    </row>
    <row r="9">
      <c r="A9" s="31" t="inlineStr">
        <is>
          <t>CANDELA HERNANDEZ YOLANDA</t>
        </is>
      </c>
      <c r="B9" s="31" t="inlineStr">
        <is>
          <t>Yolanda Candela</t>
        </is>
      </c>
      <c r="C9" s="27" t="n">
        <v>36716</v>
      </c>
      <c r="D9" s="78" t="n">
        <v>27897</v>
      </c>
      <c r="E9" s="27" t="n">
        <v>58259</v>
      </c>
      <c r="F9" s="45">
        <f>IF(A9="","",IF(E9=0,0,D9/E9))</f>
        <v/>
      </c>
      <c r="G9" s="79">
        <f>IF(F9="","",IF(F9&gt;=1,"Verde",IF(F9&gt;=0.7,"Ámbar","Rojo")))</f>
        <v/>
      </c>
      <c r="H9" s="27" t="n">
        <v>22797</v>
      </c>
      <c r="I9" s="27" t="n">
        <v>18</v>
      </c>
      <c r="J9" s="80">
        <f>IF(A9="","",F9+D9/1000000000+(100-ROW())/1000000000000)</f>
        <v/>
      </c>
      <c r="L9" s="32" t="n">
        <v>5</v>
      </c>
      <c r="M9" s="30">
        <f>IF(L9&gt;COUNT($J$5:$J$17),"",INDEX($B$5:$B$17,MATCH(LARGE($J$5:$J$17,L9),$J$5:$J$17,0)))</f>
        <v/>
      </c>
      <c r="N9" s="45">
        <f>IF(M9="","",INDEX($F$5:$F$17,MATCH(LARGE($J$5:$J$17,L9),$J$5:$J$17,0)))</f>
        <v/>
      </c>
      <c r="O9" s="49">
        <f>IF(M9="","",INDEX($D$5:$D$17,MATCH(LARGE($J$5:$J$17,L9),$J$5:$J$17,0)))</f>
        <v/>
      </c>
      <c r="P9" s="49">
        <f>IF(M9="","",INDEX($E$5:$E$17,MATCH(LARGE($J$5:$J$17,L9),$J$5:$J$17,0)))</f>
        <v/>
      </c>
    </row>
    <row r="10">
      <c r="A10" s="31" t="inlineStr">
        <is>
          <t>EJECUTIVO VENTAS ZONA CUENTAS CLAVES</t>
        </is>
      </c>
      <c r="B10" s="31" t="inlineStr">
        <is>
          <t>Ejec. Cuentas Clave</t>
        </is>
      </c>
      <c r="C10" s="27" t="n">
        <v>10539</v>
      </c>
      <c r="D10" s="78" t="n">
        <v>2608</v>
      </c>
      <c r="E10" s="27" t="n">
        <v>31201.125</v>
      </c>
      <c r="F10" s="45">
        <f>IF(A10="","",IF(E10=0,0,D10/E10))</f>
        <v/>
      </c>
      <c r="G10" s="79">
        <f>IF(F10="","",IF(F10&gt;=1,"Verde",IF(F10&gt;=0.7,"Ámbar","Rojo")))</f>
        <v/>
      </c>
      <c r="H10" s="27" t="n">
        <v>0</v>
      </c>
      <c r="I10" s="27" t="n">
        <v>0</v>
      </c>
      <c r="J10" s="80">
        <f>IF(A10="","",F10+D10/1000000000+(100-ROW())/1000000000000)</f>
        <v/>
      </c>
      <c r="L10" s="32" t="n">
        <v>7</v>
      </c>
      <c r="M10" s="30">
        <f>IF(L10&gt;COUNT($J$5:$J$17),"",INDEX($B$5:$B$17,MATCH(LARGE($J$5:$J$17,L10),$J$5:$J$17,0)))</f>
        <v/>
      </c>
      <c r="N10" s="45">
        <f>IF(M10="","",INDEX($F$5:$F$17,MATCH(LARGE($J$5:$J$17,L10),$J$5:$J$17,0)))</f>
        <v/>
      </c>
      <c r="O10" s="49">
        <f>IF(M10="","",INDEX($D$5:$D$17,MATCH(LARGE($J$5:$J$17,L10),$J$5:$J$17,0)))</f>
        <v/>
      </c>
      <c r="P10" s="49">
        <f>IF(M10="","",INDEX($E$5:$E$17,MATCH(LARGE($J$5:$J$17,L10),$J$5:$J$17,0)))</f>
        <v/>
      </c>
    </row>
    <row r="11">
      <c r="A11" s="31" t="inlineStr">
        <is>
          <t>NARANJO VELEZ LEON ALEXIS</t>
        </is>
      </c>
      <c r="B11" s="31" t="inlineStr">
        <is>
          <t>León A. Naranjo</t>
        </is>
      </c>
      <c r="C11" s="27" t="n">
        <v>14965</v>
      </c>
      <c r="D11" s="78" t="n">
        <v>924</v>
      </c>
      <c r="E11" s="27" t="n">
        <v>28161</v>
      </c>
      <c r="F11" s="45">
        <f>IF(A11="","",IF(E11=0,0,D11/E11))</f>
        <v/>
      </c>
      <c r="G11" s="79">
        <f>IF(F11="","",IF(F11&gt;=1,"Verde",IF(F11&gt;=0.7,"Ámbar","Rojo")))</f>
        <v/>
      </c>
      <c r="H11" s="27" t="n">
        <v>14041</v>
      </c>
      <c r="I11" s="27" t="n">
        <v>1895</v>
      </c>
      <c r="J11" s="80">
        <f>IF(A11="","",F11+D11/1000000000+(100-ROW())/1000000000000)</f>
        <v/>
      </c>
      <c r="L11" s="32" t="n">
        <v>9</v>
      </c>
      <c r="M11" s="30">
        <f>IF(L11&gt;COUNT($J$5:$J$17),"",INDEX($B$5:$B$17,MATCH(LARGE($J$5:$J$17,L11),$J$5:$J$17,0)))</f>
        <v/>
      </c>
      <c r="N11" s="45">
        <f>IF(M11="","",INDEX($F$5:$F$17,MATCH(LARGE($J$5:$J$17,L11),$J$5:$J$17,0)))</f>
        <v/>
      </c>
      <c r="O11" s="49">
        <f>IF(M11="","",INDEX($D$5:$D$17,MATCH(LARGE($J$5:$J$17,L11),$J$5:$J$17,0)))</f>
        <v/>
      </c>
      <c r="P11" s="49">
        <f>IF(M11="","",INDEX($E$5:$E$17,MATCH(LARGE($J$5:$J$17,L11),$J$5:$J$17,0)))</f>
        <v/>
      </c>
    </row>
    <row r="12">
      <c r="A12" s="31" t="inlineStr">
        <is>
          <t>FONTALVO MENDIETA ADRIANA MARCELA</t>
        </is>
      </c>
      <c r="B12" s="31" t="inlineStr">
        <is>
          <t>Adriana M. Fontalvo</t>
        </is>
      </c>
      <c r="C12" s="27" t="n">
        <v>22878</v>
      </c>
      <c r="D12" s="78" t="n">
        <v>99</v>
      </c>
      <c r="E12" s="27" t="n">
        <v>19175</v>
      </c>
      <c r="F12" s="45">
        <f>IF(A12="","",IF(E12=0,0,D12/E12))</f>
        <v/>
      </c>
      <c r="G12" s="79">
        <f>IF(F12="","",IF(F12&gt;=1,"Verde",IF(F12&gt;=0.7,"Ámbar","Rojo")))</f>
        <v/>
      </c>
      <c r="H12" s="27" t="n">
        <v>22779</v>
      </c>
      <c r="I12" s="27" t="n">
        <v>0</v>
      </c>
      <c r="J12" s="80">
        <f>IF(A12="","",F12+D12/1000000000+(100-ROW())/1000000000000)</f>
        <v/>
      </c>
      <c r="L12" s="32" t="n">
        <v>10</v>
      </c>
      <c r="M12" s="30">
        <f>IF(L12&gt;COUNT($J$5:$J$17),"",INDEX($B$5:$B$17,MATCH(LARGE($J$5:$J$17,L12),$J$5:$J$17,0)))</f>
        <v/>
      </c>
      <c r="N12" s="45">
        <f>IF(M12="","",INDEX($F$5:$F$17,MATCH(LARGE($J$5:$J$17,L12),$J$5:$J$17,0)))</f>
        <v/>
      </c>
      <c r="O12" s="49">
        <f>IF(M12="","",INDEX($D$5:$D$17,MATCH(LARGE($J$5:$J$17,L12),$J$5:$J$17,0)))</f>
        <v/>
      </c>
      <c r="P12" s="49">
        <f>IF(M12="","",INDEX($E$5:$E$17,MATCH(LARGE($J$5:$J$17,L12),$J$5:$J$17,0)))</f>
        <v/>
      </c>
    </row>
    <row r="13">
      <c r="A13" s="31" t="inlineStr">
        <is>
          <t>EJECUTIVO VENTAS ZONA BOGOTA</t>
        </is>
      </c>
      <c r="B13" s="31" t="inlineStr">
        <is>
          <t>Ejec. Zona Bogotá</t>
        </is>
      </c>
      <c r="C13" s="27" t="n">
        <v>0</v>
      </c>
      <c r="D13" s="27" t="n">
        <v>0</v>
      </c>
      <c r="E13" s="27" t="n">
        <v>50778.75</v>
      </c>
      <c r="F13" s="45">
        <f>IF(A13="","",IF(E13=0,0,D13/E13))</f>
        <v/>
      </c>
      <c r="G13" s="79">
        <f>IF(F13="","",IF(F13&gt;=1,"Verde",IF(F13&gt;=0.7,"Ámbar","Rojo")))</f>
        <v/>
      </c>
      <c r="H13" s="27" t="n">
        <v>0</v>
      </c>
      <c r="I13" s="27" t="n">
        <v>0</v>
      </c>
      <c r="J13" s="80">
        <f>IF(A13="","",F13+D13/1000000000+(100-ROW())/1000000000000)</f>
        <v/>
      </c>
      <c r="L13" s="32" t="n">
        <v>11</v>
      </c>
      <c r="M13" s="30">
        <f>IF(L13&gt;COUNT($J$5:$J$17),"",INDEX($B$5:$B$17,MATCH(LARGE($J$5:$J$17,L13),$J$5:$J$17,0)))</f>
        <v/>
      </c>
      <c r="N13" s="45">
        <f>IF(M13="","",INDEX($F$5:$F$17,MATCH(LARGE($J$5:$J$17,L13),$J$5:$J$17,0)))</f>
        <v/>
      </c>
      <c r="O13" s="49">
        <f>IF(M13="","",INDEX($D$5:$D$17,MATCH(LARGE($J$5:$J$17,L13),$J$5:$J$17,0)))</f>
        <v/>
      </c>
      <c r="P13" s="49">
        <f>IF(M13="","",INDEX($E$5:$E$17,MATCH(LARGE($J$5:$J$17,L13),$J$5:$J$17,0)))</f>
        <v/>
      </c>
    </row>
    <row r="14">
      <c r="A14" s="31" t="n"/>
      <c r="B14" s="31" t="n"/>
      <c r="C14" s="27" t="n"/>
      <c r="D14" s="27" t="n"/>
      <c r="E14" s="27" t="n"/>
      <c r="F14" s="45">
        <f>IF(A14="","",IF(E14=0,0,D14/E14))</f>
        <v/>
      </c>
      <c r="G14" s="79">
        <f>IF(F14="","",IF(F14&gt;=1,"Verde",IF(F14&gt;=0.7,"Ámbar","Rojo")))</f>
        <v/>
      </c>
      <c r="H14" s="27" t="n"/>
      <c r="I14" s="27" t="n"/>
      <c r="J14" s="80">
        <f>IF(A14="","",F14+D14/1000000000+(100-ROW())/1000000000000)</f>
        <v/>
      </c>
      <c r="L14" s="32" t="n">
        <v>12</v>
      </c>
      <c r="M14" s="30">
        <f>IF(L14&gt;COUNT($J$5:$J$17),"",INDEX($B$5:$B$17,MATCH(LARGE($J$5:$J$17,L14),$J$5:$J$17,0)))</f>
        <v/>
      </c>
      <c r="N14" s="45">
        <f>IF(M14="","",INDEX($F$5:$F$17,MATCH(LARGE($J$5:$J$17,L14),$J$5:$J$17,0)))</f>
        <v/>
      </c>
      <c r="O14" s="49">
        <f>IF(M14="","",INDEX($D$5:$D$17,MATCH(LARGE($J$5:$J$17,L14),$J$5:$J$17,0)))</f>
        <v/>
      </c>
      <c r="P14" s="49">
        <f>IF(M14="","",INDEX($E$5:$E$17,MATCH(LARGE($J$5:$J$17,L14),$J$5:$J$17,0)))</f>
        <v/>
      </c>
    </row>
    <row r="15">
      <c r="A15" s="31" t="n"/>
      <c r="B15" s="31" t="n"/>
      <c r="C15" s="27" t="n"/>
      <c r="D15" s="27" t="n"/>
      <c r="E15" s="27" t="n"/>
      <c r="F15" s="45">
        <f>IF(A15="","",IF(E15=0,0,D15/E15))</f>
        <v/>
      </c>
      <c r="G15" s="79">
        <f>IF(F15="","",IF(F15&gt;=1,"Verde",IF(F15&gt;=0.7,"Ámbar","Rojo")))</f>
        <v/>
      </c>
      <c r="H15" s="27" t="n"/>
      <c r="I15" s="27" t="n"/>
      <c r="J15" s="80">
        <f>IF(A15="","",F15+D15/1000000000+(100-ROW())/1000000000000)</f>
        <v/>
      </c>
      <c r="L15" s="32" t="n">
        <v>13</v>
      </c>
      <c r="M15" s="30">
        <f>IF(L15&gt;COUNT($J$5:$J$17),"",INDEX($B$5:$B$17,MATCH(LARGE($J$5:$J$17,L15),$J$5:$J$17,0)))</f>
        <v/>
      </c>
      <c r="N15" s="45">
        <f>IF(M15="","",INDEX($F$5:$F$17,MATCH(LARGE($J$5:$J$17,L15),$J$5:$J$17,0)))</f>
        <v/>
      </c>
      <c r="O15" s="49">
        <f>IF(M15="","",INDEX($D$5:$D$17,MATCH(LARGE($J$5:$J$17,L15),$J$5:$J$17,0)))</f>
        <v/>
      </c>
      <c r="P15" s="49">
        <f>IF(M15="","",INDEX($E$5:$E$17,MATCH(LARGE($J$5:$J$17,L15),$J$5:$J$17,0)))</f>
        <v/>
      </c>
    </row>
    <row r="16">
      <c r="A16" s="31" t="n"/>
      <c r="B16" s="31" t="n"/>
      <c r="C16" s="27" t="n"/>
      <c r="D16" s="27" t="n"/>
      <c r="E16" s="27" t="n"/>
      <c r="F16" s="45">
        <f>IF(A16="","",IF(E16=0,0,D16/E16))</f>
        <v/>
      </c>
      <c r="G16" s="79">
        <f>IF(F16="","",IF(F16&gt;=1,"Verde",IF(F16&gt;=0.7,"Ámbar","Rojo")))</f>
        <v/>
      </c>
      <c r="H16" s="27" t="n"/>
      <c r="I16" s="27" t="n"/>
      <c r="J16" s="80">
        <f>IF(A16="","",F16+D16/1000000000+(100-ROW())/1000000000000)</f>
        <v/>
      </c>
      <c r="L16" s="32" t="n">
        <v>14</v>
      </c>
      <c r="M16" s="30">
        <f>IF(L16&gt;COUNT($J$5:$J$17),"",INDEX($B$5:$B$17,MATCH(LARGE($J$5:$J$17,L16),$J$5:$J$17,0)))</f>
        <v/>
      </c>
      <c r="N16" s="45">
        <f>IF(M16="","",INDEX($F$5:$F$17,MATCH(LARGE($J$5:$J$17,L16),$J$5:$J$17,0)))</f>
        <v/>
      </c>
      <c r="O16" s="49">
        <f>IF(M16="","",INDEX($D$5:$D$17,MATCH(LARGE($J$5:$J$17,L16),$J$5:$J$17,0)))</f>
        <v/>
      </c>
      <c r="P16" s="49">
        <f>IF(M16="","",INDEX($E$5:$E$17,MATCH(LARGE($J$5:$J$17,L16),$J$5:$J$17,0)))</f>
        <v/>
      </c>
    </row>
    <row r="17">
      <c r="A17" s="31" t="n"/>
      <c r="B17" s="31" t="n"/>
      <c r="C17" s="27" t="n"/>
      <c r="D17" s="27" t="n"/>
      <c r="E17" s="27" t="n"/>
      <c r="F17" s="45">
        <f>IF(A17="","",IF(E17=0,0,D17/E17))</f>
        <v/>
      </c>
      <c r="G17" s="79">
        <f>IF(F17="","",IF(F17&gt;=1,"Verde",IF(F17&gt;=0.7,"Ámbar","Rojo")))</f>
        <v/>
      </c>
      <c r="H17" s="27" t="n"/>
      <c r="I17" s="27" t="n"/>
      <c r="J17" s="80">
        <f>IF(A17="","",F17+D17/1000000000+(100-ROW())/1000000000000)</f>
        <v/>
      </c>
      <c r="L17" s="32" t="n">
        <v>15</v>
      </c>
      <c r="M17" s="30">
        <f>IF(L17&gt;COUNT($J$5:$J$17),"",INDEX($B$5:$B$17,MATCH(LARGE($J$5:$J$17,L17),$J$5:$J$17,0)))</f>
        <v/>
      </c>
      <c r="N17" s="45">
        <f>IF(M17="","",INDEX($F$5:$F$17,MATCH(LARGE($J$5:$J$17,L17),$J$5:$J$17,0)))</f>
        <v/>
      </c>
      <c r="O17" s="49">
        <f>IF(M17="","",INDEX($D$5:$D$17,MATCH(LARGE($J$5:$J$17,L17),$J$5:$J$17,0)))</f>
        <v/>
      </c>
      <c r="P17" s="49">
        <f>IF(M17="","",INDEX($E$5:$E$17,MATCH(LARGE($J$5:$J$17,L17),$J$5:$J$17,0)))</f>
        <v/>
      </c>
    </row>
    <row r="18">
      <c r="A18" s="33" t="inlineStr">
        <is>
          <t>TOTAL CANAL</t>
        </is>
      </c>
      <c r="B18" s="33">
        <f>COUNTA(A5:A17)&amp;" RSM"</f>
        <v/>
      </c>
      <c r="C18" s="34">
        <f>SUM(C5:C17)</f>
        <v/>
      </c>
      <c r="D18" s="34">
        <f>SUM(D5:D17)</f>
        <v/>
      </c>
      <c r="E18" s="34">
        <f>SUM(E5:E17)</f>
        <v/>
      </c>
      <c r="F18" s="48">
        <f>IF(E18=0,0,D18/E18)</f>
        <v/>
      </c>
      <c r="G18" s="33">
        <f>IF(F18&gt;=1,"Verde",IF(F18&gt;=0.7,"Ámbar","Rojo"))</f>
        <v/>
      </c>
      <c r="H18" s="34">
        <f>SUM(H5:H17)</f>
        <v/>
      </c>
      <c r="I18" s="34">
        <f>SUM(I5:I17)</f>
        <v/>
      </c>
    </row>
    <row r="20">
      <c r="A20" s="26" t="inlineStr">
        <is>
          <t>KPIs canal</t>
        </is>
      </c>
    </row>
    <row r="21">
      <c r="A21" s="30" t="inlineStr">
        <is>
          <t>RSM ≥100% budget</t>
        </is>
      </c>
      <c r="B21" s="32">
        <f>COUNTIF(F5:F17,"&gt;=1")</f>
        <v/>
      </c>
    </row>
    <row r="22">
      <c r="A22" s="30" t="inlineStr">
        <is>
          <t>RSM &lt;70% budget</t>
        </is>
      </c>
      <c r="B22" s="32">
        <f>COUNTIFS(F5:F17,"&lt;0.7",A5:A17,"&lt;&gt;")</f>
        <v/>
      </c>
    </row>
    <row r="23">
      <c r="A23" s="30" t="inlineStr">
        <is>
          <t>Brecha vs budget (m²)</t>
        </is>
      </c>
      <c r="B23" s="49">
        <f>D18-E18</f>
        <v/>
      </c>
    </row>
    <row r="24">
      <c r="A24" s="30" t="inlineStr">
        <is>
          <t>Backlog total (m²)</t>
        </is>
      </c>
      <c r="B24" s="49">
        <f>H18+I18</f>
        <v/>
      </c>
    </row>
    <row r="25">
      <c r="A25" s="30" t="inlineStr">
        <is>
          <t>Book-to-bill (OI/Ventas)</t>
        </is>
      </c>
      <c r="B25" s="29">
        <f>IFERROR(C18/D18,"")</f>
        <v/>
      </c>
    </row>
  </sheetData>
  <conditionalFormatting sqref="F5:F18 N5:N17">
    <cfRule type="cellIs" priority="2" operator="greaterThanOrEqual" dxfId="3">
      <formula>1</formula>
    </cfRule>
    <cfRule type="cellIs" priority="3" operator="between" dxfId="6">
      <formula>0.7</formula>
      <formula>0.9999</formula>
    </cfRule>
    <cfRule type="cellIs" priority="4" operator="lessThan" dxfId="5">
      <formula>0.7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FF061530"/>
    <outlinePr summaryBelow="1" summaryRight="1"/>
    <pageSetUpPr/>
  </sheetPr>
  <dimension ref="A1:P27"/>
  <sheetViews>
    <sheetView showGridLines="0" zoomScaleNormal="100" workbookViewId="0">
      <selection activeCell="C53" sqref="C53"/>
    </sheetView>
  </sheetViews>
  <sheetFormatPr baseColWidth="10" defaultColWidth="8.7109375" defaultRowHeight="15"/>
  <cols>
    <col width="38" customWidth="1" min="1" max="1"/>
    <col width="22" customWidth="1" min="2" max="2"/>
    <col width="13" customWidth="1" min="3" max="4"/>
    <col width="14" customWidth="1" min="5" max="5"/>
    <col width="11" customWidth="1" min="6" max="6"/>
    <col width="10" customWidth="1" min="7" max="7"/>
    <col width="13" customWidth="1" min="8" max="8"/>
    <col width="12" customWidth="1" min="9" max="10"/>
    <col width="2" customWidth="1" min="11" max="11"/>
    <col width="5" customWidth="1" min="12" max="12"/>
    <col width="26" customWidth="1" min="13" max="13"/>
    <col width="10" customWidth="1" min="14" max="14"/>
    <col width="12" customWidth="1" min="15" max="16"/>
  </cols>
  <sheetData>
    <row r="1" ht="18" customHeight="1">
      <c r="A1" s="2" t="inlineStr">
        <is>
          <t>10 · RSM Distribución – Cumplimiento y Backlog (YTD)  [detalle interno – no se presenta en el deck]</t>
        </is>
      </c>
    </row>
    <row r="2">
      <c r="A2" s="24" t="inlineStr">
        <is>
          <t>Diligencie la tabla izquierda; el ranking (derecha), totales y semáforos se calculan solos</t>
        </is>
      </c>
    </row>
    <row r="4" ht="30" customHeight="1">
      <c r="A4" s="25" t="inlineStr">
        <is>
          <t>RSM (nombre completo)</t>
        </is>
      </c>
      <c r="B4" s="25" t="inlineStr">
        <is>
          <t>Nombre corto (slide)</t>
        </is>
      </c>
      <c r="C4" s="25" t="inlineStr">
        <is>
          <t>Order Intake m²</t>
        </is>
      </c>
      <c r="D4" s="25" t="inlineStr">
        <is>
          <t>Ventas Total m²</t>
        </is>
      </c>
      <c r="E4" s="25" t="inlineStr">
        <is>
          <t>Budget m² (paneles)</t>
        </is>
      </c>
      <c r="F4" s="25" t="inlineStr">
        <is>
          <t>% Cumpl. Budget</t>
        </is>
      </c>
      <c r="G4" s="25" t="inlineStr">
        <is>
          <t>Semáforo</t>
        </is>
      </c>
      <c r="H4" s="25" t="inlineStr">
        <is>
          <t>Backlog paneles m²</t>
        </is>
      </c>
      <c r="I4" s="25" t="inlineStr">
        <is>
          <t>Backlog otros m²</t>
        </is>
      </c>
      <c r="J4" s="25" t="inlineStr">
        <is>
          <t>Clave orden (aux)</t>
        </is>
      </c>
      <c r="L4" s="77" t="inlineStr">
        <is>
          <t>#</t>
        </is>
      </c>
      <c r="M4" s="77" t="inlineStr">
        <is>
          <t>Ranking – Fuente gráfico (mayor → menor cumplimiento)</t>
        </is>
      </c>
      <c r="N4" s="77" t="inlineStr">
        <is>
          <t>% Cumpl.</t>
        </is>
      </c>
      <c r="O4" s="77" t="inlineStr">
        <is>
          <t>Ventas m²</t>
        </is>
      </c>
      <c r="P4" s="77" t="inlineStr">
        <is>
          <t>Budget m²</t>
        </is>
      </c>
    </row>
    <row r="5">
      <c r="A5" s="31" t="inlineStr">
        <is>
          <t>EJECUTIVO DE VENTAS SUR</t>
        </is>
      </c>
      <c r="B5" s="31" t="inlineStr">
        <is>
          <t>Ejec. Ventas Sur</t>
        </is>
      </c>
      <c r="C5" s="27" t="n">
        <v>4476</v>
      </c>
      <c r="D5" s="27" t="n">
        <v>10800</v>
      </c>
      <c r="E5" s="78" t="n">
        <v>5611</v>
      </c>
      <c r="F5" s="45">
        <f>IF(A5="","",IF(E5=0,0,D5/E5))</f>
        <v/>
      </c>
      <c r="G5" s="79">
        <f>IF(F5="","",IF(F5&gt;=1,"Verde",IF(F5&gt;=0.7,"Ámbar","Rojo")))</f>
        <v/>
      </c>
      <c r="H5" s="27" t="n">
        <v>0</v>
      </c>
      <c r="I5" s="27" t="n">
        <v>0</v>
      </c>
      <c r="J5" s="80">
        <f>IF(A5="","",F5+D5/1000000000+(100-ROW())/1000000000000)</f>
        <v/>
      </c>
      <c r="L5" s="32" t="n">
        <v>1</v>
      </c>
      <c r="M5" s="30">
        <f>IF(L5&gt;COUNT($J$5:$J$19),"",INDEX($B$5:$B$19,MATCH(LARGE($J$5:$J$19,L5),$J$5:$J$19,0)))</f>
        <v/>
      </c>
      <c r="N5" s="45">
        <f>IF(M5="","",INDEX($F$5:$F$19,MATCH(LARGE($J$5:$J$19,L5),$J$5:$J$19,0)))</f>
        <v/>
      </c>
      <c r="O5" s="49">
        <f>IF(M5="","",INDEX($D$5:$D$19,MATCH(LARGE($J$5:$J$19,L5),$J$5:$J$19,0)))</f>
        <v/>
      </c>
      <c r="P5" s="49">
        <f>IF(M5="","",INDEX($E$5:$E$19,MATCH(LARGE($J$5:$J$19,L5),$J$5:$J$19,0)))</f>
        <v/>
      </c>
    </row>
    <row r="6">
      <c r="A6" s="31" t="inlineStr">
        <is>
          <t>EJECUTIVO DE VENTAS EJE CAFETERO</t>
        </is>
      </c>
      <c r="B6" s="31" t="inlineStr">
        <is>
          <t>Ejec. Eje Cafetero</t>
        </is>
      </c>
      <c r="C6" s="27" t="n">
        <v>7780</v>
      </c>
      <c r="D6" s="27" t="n">
        <v>11129</v>
      </c>
      <c r="E6" s="78" t="n">
        <v>5611</v>
      </c>
      <c r="F6" s="45">
        <f>IF(A6="","",IF(E6=0,0,D6/E6))</f>
        <v/>
      </c>
      <c r="G6" s="79">
        <f>IF(F6="","",IF(F6&gt;=1,"Verde",IF(F6&gt;=0.7,"Ámbar","Rojo")))</f>
        <v/>
      </c>
      <c r="H6" s="27" t="n">
        <v>0</v>
      </c>
      <c r="I6" s="27" t="n">
        <v>0</v>
      </c>
      <c r="J6" s="80">
        <f>IF(A6="","",F6+D6/1000000000+(100-ROW())/1000000000000)</f>
        <v/>
      </c>
      <c r="L6" s="32" t="n">
        <v>2</v>
      </c>
      <c r="M6" s="30">
        <f>IF(L6&gt;COUNT($J$5:$J$19),"",INDEX($B$5:$B$19,MATCH(LARGE($J$5:$J$19,L6),$J$5:$J$19,0)))</f>
        <v/>
      </c>
      <c r="N6" s="45">
        <f>IF(M6="","",INDEX($F$5:$F$19,MATCH(LARGE($J$5:$J$19,L6),$J$5:$J$19,0)))</f>
        <v/>
      </c>
      <c r="O6" s="49">
        <f>IF(M6="","",INDEX($D$5:$D$19,MATCH(LARGE($J$5:$J$19,L6),$J$5:$J$19,0)))</f>
        <v/>
      </c>
      <c r="P6" s="49">
        <f>IF(M6="","",INDEX($E$5:$E$19,MATCH(LARGE($J$5:$J$19,L6),$J$5:$J$19,0)))</f>
        <v/>
      </c>
    </row>
    <row r="7">
      <c r="A7" s="31" t="inlineStr">
        <is>
          <t>CANDELA HERNANDEZ YOLANDA</t>
        </is>
      </c>
      <c r="B7" s="31" t="inlineStr">
        <is>
          <t>Yolanda Candela</t>
        </is>
      </c>
      <c r="C7" s="27" t="n">
        <v>38269</v>
      </c>
      <c r="D7" s="27" t="n">
        <v>39934</v>
      </c>
      <c r="E7" s="78" t="n">
        <v>22361</v>
      </c>
      <c r="F7" s="45">
        <f>IF(A7="","",IF(E7=0,0,D7/E7))</f>
        <v/>
      </c>
      <c r="G7" s="79">
        <f>IF(F7="","",IF(F7&gt;=1,"Verde",IF(F7&gt;=0.7,"Ámbar","Rojo")))</f>
        <v/>
      </c>
      <c r="H7" s="27" t="n">
        <v>7750</v>
      </c>
      <c r="I7" s="27" t="n">
        <v>0</v>
      </c>
      <c r="J7" s="80">
        <f>IF(A7="","",F7+D7/1000000000+(100-ROW())/1000000000000)</f>
        <v/>
      </c>
      <c r="L7" s="32" t="n">
        <v>3</v>
      </c>
      <c r="M7" s="30">
        <f>IF(L7&gt;COUNT($J$5:$J$19),"",INDEX($B$5:$B$19,MATCH(LARGE($J$5:$J$19,L7),$J$5:$J$19,0)))</f>
        <v/>
      </c>
      <c r="N7" s="45">
        <f>IF(M7="","",INDEX($F$5:$F$19,MATCH(LARGE($J$5:$J$19,L7),$J$5:$J$19,0)))</f>
        <v/>
      </c>
      <c r="O7" s="49">
        <f>IF(M7="","",INDEX($D$5:$D$19,MATCH(LARGE($J$5:$J$19,L7),$J$5:$J$19,0)))</f>
        <v/>
      </c>
      <c r="P7" s="49">
        <f>IF(M7="","",INDEX($E$5:$E$19,MATCH(LARGE($J$5:$J$19,L7),$J$5:$J$19,0)))</f>
        <v/>
      </c>
    </row>
    <row r="8">
      <c r="A8" s="31" t="inlineStr">
        <is>
          <t>GARCIA RUIZ MONICA ALEXANDRA</t>
        </is>
      </c>
      <c r="B8" s="31" t="inlineStr">
        <is>
          <t>Mónica A. García</t>
        </is>
      </c>
      <c r="C8" s="27" t="n">
        <v>25763</v>
      </c>
      <c r="D8" s="27" t="n">
        <v>20362</v>
      </c>
      <c r="E8" s="78" t="n">
        <v>12000</v>
      </c>
      <c r="F8" s="45">
        <f>IF(A8="","",IF(E8=0,0,D8/E8))</f>
        <v/>
      </c>
      <c r="G8" s="79">
        <f>IF(F8="","",IF(F8&gt;=1,"Verde",IF(F8&gt;=0.7,"Ámbar","Rojo")))</f>
        <v/>
      </c>
      <c r="H8" s="27" t="n">
        <v>8016</v>
      </c>
      <c r="I8" s="27" t="n">
        <v>0</v>
      </c>
      <c r="J8" s="80">
        <f>IF(A8="","",F8+D8/1000000000+(100-ROW())/1000000000000)</f>
        <v/>
      </c>
      <c r="L8" s="32" t="n">
        <v>4</v>
      </c>
      <c r="M8" s="30">
        <f>IF(L8&gt;COUNT($J$5:$J$19),"",INDEX($B$5:$B$19,MATCH(LARGE($J$5:$J$19,L8),$J$5:$J$19,0)))</f>
        <v/>
      </c>
      <c r="N8" s="45">
        <f>IF(M8="","",INDEX($F$5:$F$19,MATCH(LARGE($J$5:$J$19,L8),$J$5:$J$19,0)))</f>
        <v/>
      </c>
      <c r="O8" s="49">
        <f>IF(M8="","",INDEX($D$5:$D$19,MATCH(LARGE($J$5:$J$19,L8),$J$5:$J$19,0)))</f>
        <v/>
      </c>
      <c r="P8" s="49">
        <f>IF(M8="","",INDEX($E$5:$E$19,MATCH(LARGE($J$5:$J$19,L8),$J$5:$J$19,0)))</f>
        <v/>
      </c>
    </row>
    <row r="9">
      <c r="A9" s="31" t="inlineStr">
        <is>
          <t>PEREZ RESTREPO EIDY JOANA</t>
        </is>
      </c>
      <c r="B9" s="31" t="inlineStr">
        <is>
          <t>Eidy J. Pérez</t>
        </is>
      </c>
      <c r="C9" s="27" t="n">
        <v>76135</v>
      </c>
      <c r="D9" s="27" t="n">
        <v>80285</v>
      </c>
      <c r="E9" s="78" t="n">
        <v>70977</v>
      </c>
      <c r="F9" s="45">
        <f>IF(A9="","",IF(E9=0,0,D9/E9))</f>
        <v/>
      </c>
      <c r="G9" s="79">
        <f>IF(F9="","",IF(F9&gt;=1,"Verde",IF(F9&gt;=0.7,"Ámbar","Rojo")))</f>
        <v/>
      </c>
      <c r="H9" s="27" t="n">
        <v>14515</v>
      </c>
      <c r="I9" s="27" t="n">
        <v>1979</v>
      </c>
      <c r="J9" s="80">
        <f>IF(A9="","",F9+D9/1000000000+(100-ROW())/1000000000000)</f>
        <v/>
      </c>
      <c r="L9" s="32" t="n">
        <v>5</v>
      </c>
      <c r="M9" s="30">
        <f>IF(L9&gt;COUNT($J$5:$J$19),"",INDEX($B$5:$B$19,MATCH(LARGE($J$5:$J$19,L9),$J$5:$J$19,0)))</f>
        <v/>
      </c>
      <c r="N9" s="45">
        <f>IF(M9="","",INDEX($F$5:$F$19,MATCH(LARGE($J$5:$J$19,L9),$J$5:$J$19,0)))</f>
        <v/>
      </c>
      <c r="O9" s="49">
        <f>IF(M9="","",INDEX($D$5:$D$19,MATCH(LARGE($J$5:$J$19,L9),$J$5:$J$19,0)))</f>
        <v/>
      </c>
      <c r="P9" s="49">
        <f>IF(M9="","",INDEX($E$5:$E$19,MATCH(LARGE($J$5:$J$19,L9),$J$5:$J$19,0)))</f>
        <v/>
      </c>
    </row>
    <row r="10">
      <c r="A10" s="31" t="inlineStr">
        <is>
          <t>SALAZAR LOPEZ EDWAR ANDRES</t>
        </is>
      </c>
      <c r="B10" s="31" t="inlineStr">
        <is>
          <t>Edwar A. Salazar</t>
        </is>
      </c>
      <c r="C10" s="27" t="n">
        <v>21078</v>
      </c>
      <c r="D10" s="27" t="n">
        <v>14678</v>
      </c>
      <c r="E10" s="78" t="n">
        <v>21500</v>
      </c>
      <c r="F10" s="45">
        <f>IF(A10="","",IF(E10=0,0,D10/E10))</f>
        <v/>
      </c>
      <c r="G10" s="79">
        <f>IF(F10="","",IF(F10&gt;=1,"Verde",IF(F10&gt;=0.7,"Ámbar","Rojo")))</f>
        <v/>
      </c>
      <c r="H10" s="27" t="n">
        <v>6400</v>
      </c>
      <c r="I10" s="27" t="n">
        <v>0</v>
      </c>
      <c r="J10" s="80">
        <f>IF(A10="","",F10+D10/1000000000+(100-ROW())/1000000000000)</f>
        <v/>
      </c>
      <c r="L10" s="32" t="n">
        <v>6</v>
      </c>
      <c r="M10" s="30">
        <f>IF(L10&gt;COUNT($J$5:$J$19),"",INDEX($B$5:$B$19,MATCH(LARGE($J$5:$J$19,L10),$J$5:$J$19,0)))</f>
        <v/>
      </c>
      <c r="N10" s="45">
        <f>IF(M10="","",INDEX($F$5:$F$19,MATCH(LARGE($J$5:$J$19,L10),$J$5:$J$19,0)))</f>
        <v/>
      </c>
      <c r="O10" s="49">
        <f>IF(M10="","",INDEX($D$5:$D$19,MATCH(LARGE($J$5:$J$19,L10),$J$5:$J$19,0)))</f>
        <v/>
      </c>
      <c r="P10" s="49">
        <f>IF(M10="","",INDEX($E$5:$E$19,MATCH(LARGE($J$5:$J$19,L10),$J$5:$J$19,0)))</f>
        <v/>
      </c>
    </row>
    <row r="11">
      <c r="A11" s="31" t="inlineStr">
        <is>
          <t>ACOSTA HERNANDEZ HENRY ALEJANDRO</t>
        </is>
      </c>
      <c r="B11" s="31" t="inlineStr">
        <is>
          <t>Henry A. Acosta</t>
        </is>
      </c>
      <c r="C11" s="27" t="n">
        <v>14822</v>
      </c>
      <c r="D11" s="27" t="n">
        <v>6805</v>
      </c>
      <c r="E11" s="78" t="n">
        <v>11596</v>
      </c>
      <c r="F11" s="45">
        <f>IF(A11="","",IF(E11=0,0,D11/E11))</f>
        <v/>
      </c>
      <c r="G11" s="79">
        <f>IF(F11="","",IF(F11&gt;=1,"Verde",IF(F11&gt;=0.7,"Ámbar","Rojo")))</f>
        <v/>
      </c>
      <c r="H11" s="27" t="n">
        <v>8016</v>
      </c>
      <c r="I11" s="27" t="n">
        <v>0</v>
      </c>
      <c r="J11" s="80">
        <f>IF(A11="","",F11+D11/1000000000+(100-ROW())/1000000000000)</f>
        <v/>
      </c>
      <c r="L11" s="32" t="n">
        <v>7</v>
      </c>
      <c r="M11" s="30">
        <f>IF(L11&gt;COUNT($J$5:$J$19),"",INDEX($B$5:$B$19,MATCH(LARGE($J$5:$J$19,L11),$J$5:$J$19,0)))</f>
        <v/>
      </c>
      <c r="N11" s="45">
        <f>IF(M11="","",INDEX($F$5:$F$19,MATCH(LARGE($J$5:$J$19,L11),$J$5:$J$19,0)))</f>
        <v/>
      </c>
      <c r="O11" s="49">
        <f>IF(M11="","",INDEX($D$5:$D$19,MATCH(LARGE($J$5:$J$19,L11),$J$5:$J$19,0)))</f>
        <v/>
      </c>
      <c r="P11" s="49">
        <f>IF(M11="","",INDEX($E$5:$E$19,MATCH(LARGE($J$5:$J$19,L11),$J$5:$J$19,0)))</f>
        <v/>
      </c>
    </row>
    <row r="12">
      <c r="A12" s="31" t="inlineStr">
        <is>
          <t>VALENZUELA TORRES RONALD</t>
        </is>
      </c>
      <c r="B12" s="31" t="inlineStr">
        <is>
          <t>Ronald Valenzuela</t>
        </is>
      </c>
      <c r="C12" s="27" t="n">
        <v>15745</v>
      </c>
      <c r="D12" s="27" t="n">
        <v>17303</v>
      </c>
      <c r="E12" s="78" t="n">
        <v>38653</v>
      </c>
      <c r="F12" s="45">
        <f>IF(A12="","",IF(E12=0,0,D12/E12))</f>
        <v/>
      </c>
      <c r="G12" s="79">
        <f>IF(F12="","",IF(F12&gt;=1,"Verde",IF(F12&gt;=0.7,"Ámbar","Rojo")))</f>
        <v/>
      </c>
      <c r="H12" s="27" t="n">
        <v>0</v>
      </c>
      <c r="I12" s="27" t="n">
        <v>0</v>
      </c>
      <c r="J12" s="80">
        <f>IF(A12="","",F12+D12/1000000000+(100-ROW())/1000000000000)</f>
        <v/>
      </c>
      <c r="L12" s="32" t="n">
        <v>8</v>
      </c>
      <c r="M12" s="30">
        <f>IF(L12&gt;COUNT($J$5:$J$19),"",INDEX($B$5:$B$19,MATCH(LARGE($J$5:$J$19,L12),$J$5:$J$19,0)))</f>
        <v/>
      </c>
      <c r="N12" s="45">
        <f>IF(M12="","",INDEX($F$5:$F$19,MATCH(LARGE($J$5:$J$19,L12),$J$5:$J$19,0)))</f>
        <v/>
      </c>
      <c r="O12" s="49">
        <f>IF(M12="","",INDEX($D$5:$D$19,MATCH(LARGE($J$5:$J$19,L12),$J$5:$J$19,0)))</f>
        <v/>
      </c>
      <c r="P12" s="49">
        <f>IF(M12="","",INDEX($E$5:$E$19,MATCH(LARGE($J$5:$J$19,L12),$J$5:$J$19,0)))</f>
        <v/>
      </c>
    </row>
    <row r="13">
      <c r="A13" s="31" t="inlineStr">
        <is>
          <t>MENDEZ GONZALEZ RONALD ENRIQUE</t>
        </is>
      </c>
      <c r="B13" s="31" t="inlineStr">
        <is>
          <t>Ronald E. Méndez</t>
        </is>
      </c>
      <c r="C13" s="27" t="n">
        <v>13157</v>
      </c>
      <c r="D13" s="27" t="n">
        <v>19032</v>
      </c>
      <c r="E13" s="78" t="n">
        <v>45720</v>
      </c>
      <c r="F13" s="45">
        <f>IF(A13="","",IF(E13=0,0,D13/E13))</f>
        <v/>
      </c>
      <c r="G13" s="79">
        <f>IF(F13="","",IF(F13&gt;=1,"Verde",IF(F13&gt;=0.7,"Ámbar","Rojo")))</f>
        <v/>
      </c>
      <c r="H13" s="27" t="n">
        <v>0</v>
      </c>
      <c r="I13" s="27" t="n">
        <v>0</v>
      </c>
      <c r="J13" s="80">
        <f>IF(A13="","",F13+D13/1000000000+(100-ROW())/1000000000000)</f>
        <v/>
      </c>
      <c r="L13" s="32" t="n">
        <v>9</v>
      </c>
      <c r="M13" s="30">
        <f>IF(L13&gt;COUNT($J$5:$J$19),"",INDEX($B$5:$B$19,MATCH(LARGE($J$5:$J$19,L13),$J$5:$J$19,0)))</f>
        <v/>
      </c>
      <c r="N13" s="45">
        <f>IF(M13="","",INDEX($F$5:$F$19,MATCH(LARGE($J$5:$J$19,L13),$J$5:$J$19,0)))</f>
        <v/>
      </c>
      <c r="O13" s="49">
        <f>IF(M13="","",INDEX($D$5:$D$19,MATCH(LARGE($J$5:$J$19,L13),$J$5:$J$19,0)))</f>
        <v/>
      </c>
      <c r="P13" s="49">
        <f>IF(M13="","",INDEX($E$5:$E$19,MATCH(LARGE($J$5:$J$19,L13),$J$5:$J$19,0)))</f>
        <v/>
      </c>
    </row>
    <row r="14">
      <c r="A14" s="31" t="inlineStr">
        <is>
          <t>RIOS NUÑEZ ERWIN ANTONIO</t>
        </is>
      </c>
      <c r="B14" s="31" t="inlineStr">
        <is>
          <t>Erwin A. Ríos</t>
        </is>
      </c>
      <c r="C14" s="27" t="n">
        <v>19126</v>
      </c>
      <c r="D14" s="27" t="n">
        <v>6688</v>
      </c>
      <c r="E14" s="78" t="n">
        <v>14495</v>
      </c>
      <c r="F14" s="45">
        <f>IF(A14="","",IF(E14=0,0,D14/E14))</f>
        <v/>
      </c>
      <c r="G14" s="79">
        <f>IF(F14="","",IF(F14&gt;=1,"Verde",IF(F14&gt;=0.7,"Ámbar","Rojo")))</f>
        <v/>
      </c>
      <c r="H14" s="27" t="n">
        <v>17840</v>
      </c>
      <c r="I14" s="27" t="n">
        <v>0</v>
      </c>
      <c r="J14" s="80">
        <f>IF(A14="","",F14+D14/1000000000+(100-ROW())/1000000000000)</f>
        <v/>
      </c>
      <c r="L14" s="32" t="n">
        <v>10</v>
      </c>
      <c r="M14" s="30">
        <f>IF(L14&gt;COUNT($J$5:$J$19),"",INDEX($B$5:$B$19,MATCH(LARGE($J$5:$J$19,L14),$J$5:$J$19,0)))</f>
        <v/>
      </c>
      <c r="N14" s="45">
        <f>IF(M14="","",INDEX($F$5:$F$19,MATCH(LARGE($J$5:$J$19,L14),$J$5:$J$19,0)))</f>
        <v/>
      </c>
      <c r="O14" s="49">
        <f>IF(M14="","",INDEX($D$5:$D$19,MATCH(LARGE($J$5:$J$19,L14),$J$5:$J$19,0)))</f>
        <v/>
      </c>
      <c r="P14" s="49">
        <f>IF(M14="","",INDEX($E$5:$E$19,MATCH(LARGE($J$5:$J$19,L14),$J$5:$J$19,0)))</f>
        <v/>
      </c>
    </row>
    <row r="15">
      <c r="A15" s="31" t="n"/>
      <c r="B15" s="31" t="n"/>
      <c r="C15" s="27" t="n"/>
      <c r="D15" s="27" t="n"/>
      <c r="E15" s="27" t="n"/>
      <c r="F15" s="45">
        <f>IF(A15="","",IF(E15=0,0,D15/E15))</f>
        <v/>
      </c>
      <c r="G15" s="79">
        <f>IF(F15="","",IF(F15&gt;=1,"Verde",IF(F15&gt;=0.7,"Ámbar","Rojo")))</f>
        <v/>
      </c>
      <c r="H15" s="27" t="n"/>
      <c r="I15" s="27" t="n"/>
      <c r="J15" s="80">
        <f>IF(A15="","",F15+D15/1000000000+(100-ROW())/1000000000000)</f>
        <v/>
      </c>
      <c r="L15" s="32" t="n">
        <v>11</v>
      </c>
      <c r="M15" s="30">
        <f>IF(L15&gt;COUNT($J$5:$J$19),"",INDEX($B$5:$B$19,MATCH(LARGE($J$5:$J$19,L15),$J$5:$J$19,0)))</f>
        <v/>
      </c>
      <c r="N15" s="45">
        <f>IF(M15="","",INDEX($F$5:$F$19,MATCH(LARGE($J$5:$J$19,L15),$J$5:$J$19,0)))</f>
        <v/>
      </c>
      <c r="O15" s="49">
        <f>IF(M15="","",INDEX($D$5:$D$19,MATCH(LARGE($J$5:$J$19,L15),$J$5:$J$19,0)))</f>
        <v/>
      </c>
      <c r="P15" s="49">
        <f>IF(M15="","",INDEX($E$5:$E$19,MATCH(LARGE($J$5:$J$19,L15),$J$5:$J$19,0)))</f>
        <v/>
      </c>
    </row>
    <row r="16">
      <c r="A16" s="31" t="n"/>
      <c r="B16" s="31" t="n"/>
      <c r="C16" s="27" t="n"/>
      <c r="D16" s="27" t="n"/>
      <c r="E16" s="27" t="n"/>
      <c r="F16" s="45">
        <f>IF(A16="","",IF(E16=0,0,D16/E16))</f>
        <v/>
      </c>
      <c r="G16" s="79">
        <f>IF(F16="","",IF(F16&gt;=1,"Verde",IF(F16&gt;=0.7,"Ámbar","Rojo")))</f>
        <v/>
      </c>
      <c r="H16" s="27" t="n"/>
      <c r="I16" s="27" t="n"/>
      <c r="J16" s="80">
        <f>IF(A16="","",F16+D16/1000000000+(100-ROW())/1000000000000)</f>
        <v/>
      </c>
      <c r="L16" s="32" t="n">
        <v>12</v>
      </c>
      <c r="M16" s="30">
        <f>IF(L16&gt;COUNT($J$5:$J$19),"",INDEX($B$5:$B$19,MATCH(LARGE($J$5:$J$19,L16),$J$5:$J$19,0)))</f>
        <v/>
      </c>
      <c r="N16" s="45">
        <f>IF(M16="","",INDEX($F$5:$F$19,MATCH(LARGE($J$5:$J$19,L16),$J$5:$J$19,0)))</f>
        <v/>
      </c>
      <c r="O16" s="49">
        <f>IF(M16="","",INDEX($D$5:$D$19,MATCH(LARGE($J$5:$J$19,L16),$J$5:$J$19,0)))</f>
        <v/>
      </c>
      <c r="P16" s="49">
        <f>IF(M16="","",INDEX($E$5:$E$19,MATCH(LARGE($J$5:$J$19,L16),$J$5:$J$19,0)))</f>
        <v/>
      </c>
    </row>
    <row r="17">
      <c r="A17" s="31" t="n"/>
      <c r="B17" s="31" t="n"/>
      <c r="C17" s="27" t="n"/>
      <c r="D17" s="27" t="n"/>
      <c r="E17" s="27" t="n"/>
      <c r="F17" s="45">
        <f>IF(A17="","",IF(E17=0,0,D17/E17))</f>
        <v/>
      </c>
      <c r="G17" s="79">
        <f>IF(F17="","",IF(F17&gt;=1,"Verde",IF(F17&gt;=0.7,"Ámbar","Rojo")))</f>
        <v/>
      </c>
      <c r="H17" s="27" t="n"/>
      <c r="I17" s="27" t="n"/>
      <c r="J17" s="80">
        <f>IF(A17="","",F17+D17/1000000000+(100-ROW())/1000000000000)</f>
        <v/>
      </c>
      <c r="L17" s="32" t="n">
        <v>13</v>
      </c>
      <c r="M17" s="30">
        <f>IF(L17&gt;COUNT($J$5:$J$19),"",INDEX($B$5:$B$19,MATCH(LARGE($J$5:$J$19,L17),$J$5:$J$19,0)))</f>
        <v/>
      </c>
      <c r="N17" s="45">
        <f>IF(M17="","",INDEX($F$5:$F$19,MATCH(LARGE($J$5:$J$19,L17),$J$5:$J$19,0)))</f>
        <v/>
      </c>
      <c r="O17" s="49">
        <f>IF(M17="","",INDEX($D$5:$D$19,MATCH(LARGE($J$5:$J$19,L17),$J$5:$J$19,0)))</f>
        <v/>
      </c>
      <c r="P17" s="49">
        <f>IF(M17="","",INDEX($E$5:$E$19,MATCH(LARGE($J$5:$J$19,L17),$J$5:$J$19,0)))</f>
        <v/>
      </c>
    </row>
    <row r="18">
      <c r="A18" s="31" t="n"/>
      <c r="B18" s="31" t="n"/>
      <c r="C18" s="27" t="n"/>
      <c r="D18" s="27" t="n"/>
      <c r="E18" s="27" t="n"/>
      <c r="F18" s="45">
        <f>IF(A18="","",IF(E18=0,0,D18/E18))</f>
        <v/>
      </c>
      <c r="G18" s="79">
        <f>IF(F18="","",IF(F18&gt;=1,"Verde",IF(F18&gt;=0.7,"Ámbar","Rojo")))</f>
        <v/>
      </c>
      <c r="H18" s="27" t="n"/>
      <c r="I18" s="27" t="n"/>
      <c r="J18" s="80">
        <f>IF(A18="","",F18+D18/1000000000+(100-ROW())/1000000000000)</f>
        <v/>
      </c>
      <c r="L18" s="32" t="n">
        <v>14</v>
      </c>
      <c r="M18" s="30">
        <f>IF(L18&gt;COUNT($J$5:$J$19),"",INDEX($B$5:$B$19,MATCH(LARGE($J$5:$J$19,L18),$J$5:$J$19,0)))</f>
        <v/>
      </c>
      <c r="N18" s="45">
        <f>IF(M18="","",INDEX($F$5:$F$19,MATCH(LARGE($J$5:$J$19,L18),$J$5:$J$19,0)))</f>
        <v/>
      </c>
      <c r="O18" s="49">
        <f>IF(M18="","",INDEX($D$5:$D$19,MATCH(LARGE($J$5:$J$19,L18),$J$5:$J$19,0)))</f>
        <v/>
      </c>
      <c r="P18" s="49">
        <f>IF(M18="","",INDEX($E$5:$E$19,MATCH(LARGE($J$5:$J$19,L18),$J$5:$J$19,0)))</f>
        <v/>
      </c>
    </row>
    <row r="19">
      <c r="A19" s="31" t="n"/>
      <c r="B19" s="31" t="n"/>
      <c r="C19" s="27" t="n"/>
      <c r="D19" s="27" t="n"/>
      <c r="E19" s="27" t="n"/>
      <c r="F19" s="45">
        <f>IF(A19="","",IF(E19=0,0,D19/E19))</f>
        <v/>
      </c>
      <c r="G19" s="79">
        <f>IF(F19="","",IF(F19&gt;=1,"Verde",IF(F19&gt;=0.7,"Ámbar","Rojo")))</f>
        <v/>
      </c>
      <c r="H19" s="27" t="n"/>
      <c r="I19" s="27" t="n"/>
      <c r="J19" s="80">
        <f>IF(A19="","",F19+D19/1000000000+(100-ROW())/1000000000000)</f>
        <v/>
      </c>
      <c r="L19" s="32" t="n">
        <v>15</v>
      </c>
      <c r="M19" s="30">
        <f>IF(L19&gt;COUNT($J$5:$J$19),"",INDEX($B$5:$B$19,MATCH(LARGE($J$5:$J$19,L19),$J$5:$J$19,0)))</f>
        <v/>
      </c>
      <c r="N19" s="45">
        <f>IF(M19="","",INDEX($F$5:$F$19,MATCH(LARGE($J$5:$J$19,L19),$J$5:$J$19,0)))</f>
        <v/>
      </c>
      <c r="O19" s="49">
        <f>IF(M19="","",INDEX($D$5:$D$19,MATCH(LARGE($J$5:$J$19,L19),$J$5:$J$19,0)))</f>
        <v/>
      </c>
      <c r="P19" s="49">
        <f>IF(M19="","",INDEX($E$5:$E$19,MATCH(LARGE($J$5:$J$19,L19),$J$5:$J$19,0)))</f>
        <v/>
      </c>
    </row>
    <row r="20">
      <c r="A20" s="33" t="inlineStr">
        <is>
          <t>TOTAL CANAL</t>
        </is>
      </c>
      <c r="B20" s="33">
        <f>COUNTA(A5:A19)&amp;" RSM"</f>
        <v/>
      </c>
      <c r="C20" s="34">
        <f>SUM(C5:C19)</f>
        <v/>
      </c>
      <c r="D20" s="34">
        <f>SUM(D5:D19)</f>
        <v/>
      </c>
      <c r="E20" s="34">
        <f>SUM(E5:E19)</f>
        <v/>
      </c>
      <c r="F20" s="48">
        <f>IF(E20=0,0,D20/E20)</f>
        <v/>
      </c>
      <c r="G20" s="33">
        <f>IF(F20&gt;=1,"Verde",IF(F20&gt;=0.7,"Ámbar","Rojo"))</f>
        <v/>
      </c>
      <c r="H20" s="34">
        <f>SUM(H5:H19)</f>
        <v/>
      </c>
      <c r="I20" s="34">
        <f>SUM(I5:I19)</f>
        <v/>
      </c>
    </row>
    <row r="22">
      <c r="A22" s="26" t="inlineStr">
        <is>
          <t>KPIs canal</t>
        </is>
      </c>
    </row>
    <row r="23">
      <c r="A23" s="30" t="inlineStr">
        <is>
          <t>RSM ≥100% budget</t>
        </is>
      </c>
      <c r="B23" s="32">
        <f>COUNTIF(F5:F19,"&gt;=1")</f>
        <v/>
      </c>
    </row>
    <row r="24">
      <c r="A24" s="30" t="inlineStr">
        <is>
          <t>RSM &lt;70% budget</t>
        </is>
      </c>
      <c r="B24" s="32">
        <f>COUNTIFS(F5:F19,"&lt;0.7",A5:A19,"&lt;&gt;")</f>
        <v/>
      </c>
    </row>
    <row r="25">
      <c r="A25" s="30" t="inlineStr">
        <is>
          <t>Brecha vs budget (m²)</t>
        </is>
      </c>
      <c r="B25" s="49">
        <f>D20-E20</f>
        <v/>
      </c>
    </row>
    <row r="26">
      <c r="A26" s="30" t="inlineStr">
        <is>
          <t>Backlog total (m²)</t>
        </is>
      </c>
      <c r="B26" s="49">
        <f>H20+I20</f>
        <v/>
      </c>
    </row>
    <row r="27">
      <c r="A27" s="30" t="inlineStr">
        <is>
          <t>Book-to-bill (OI/Ventas)</t>
        </is>
      </c>
      <c r="B27" s="29">
        <f>IFERROR(C20/D20,"")</f>
        <v/>
      </c>
    </row>
  </sheetData>
  <conditionalFormatting sqref="F5:F20">
    <cfRule type="cellIs" priority="2" operator="greaterThanOrEqual" dxfId="3">
      <formula>1</formula>
    </cfRule>
    <cfRule type="cellIs" priority="3" operator="between" dxfId="6">
      <formula>0.7</formula>
      <formula>0.9999</formula>
    </cfRule>
    <cfRule type="cellIs" priority="4" operator="lessThan" dxfId="5">
      <formula>0.7</formula>
    </cfRule>
  </conditionalFormatting>
  <conditionalFormatting sqref="N5:N19">
    <cfRule type="cellIs" priority="5" operator="greaterThanOrEqual" dxfId="3">
      <formula>1</formula>
    </cfRule>
    <cfRule type="cellIs" priority="6" operator="between" dxfId="6">
      <formula>0.7</formula>
      <formula>0.9999</formula>
    </cfRule>
    <cfRule type="cellIs" priority="7" operator="lessThan" dxfId="5">
      <formula>0.7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FF061530"/>
    <outlinePr summaryBelow="1" summaryRight="1"/>
    <pageSetUpPr/>
  </sheetPr>
  <dimension ref="A1:P27"/>
  <sheetViews>
    <sheetView showGridLines="0" zoomScaleNormal="100" workbookViewId="0">
      <selection activeCell="D19" sqref="D19"/>
    </sheetView>
  </sheetViews>
  <sheetFormatPr baseColWidth="10" defaultColWidth="8.7109375" defaultRowHeight="15"/>
  <cols>
    <col width="38" customWidth="1" min="1" max="1"/>
    <col width="22" customWidth="1" min="2" max="2"/>
    <col width="13" customWidth="1" min="3" max="4"/>
    <col width="14" customWidth="1" min="5" max="5"/>
    <col width="11" customWidth="1" min="6" max="6"/>
    <col width="10" customWidth="1" min="7" max="7"/>
    <col width="13" customWidth="1" min="8" max="8"/>
    <col width="12" customWidth="1" min="9" max="10"/>
    <col width="2" customWidth="1" min="11" max="11"/>
    <col width="5" customWidth="1" min="12" max="12"/>
    <col width="26" customWidth="1" min="13" max="13"/>
    <col width="10" customWidth="1" min="14" max="14"/>
    <col width="12" customWidth="1" min="15" max="16"/>
  </cols>
  <sheetData>
    <row r="1" ht="18" customHeight="1">
      <c r="A1" s="2" t="inlineStr">
        <is>
          <t>11 · RSM Otras Geografías (Exportación) – Cumplimiento y Backlog (YTD)  [detalle interno – no se presenta en el deck]</t>
        </is>
      </c>
    </row>
    <row r="2">
      <c r="A2" s="24" t="inlineStr">
        <is>
          <t>Diligencie la tabla izquierda; el ranking (derecha), totales y semáforos se calculan solos</t>
        </is>
      </c>
    </row>
    <row r="4" ht="30" customHeight="1">
      <c r="A4" s="25" t="inlineStr">
        <is>
          <t>RSM (nombre completo)</t>
        </is>
      </c>
      <c r="B4" s="25" t="inlineStr">
        <is>
          <t>Nombre corto (slide)</t>
        </is>
      </c>
      <c r="C4" s="25" t="inlineStr">
        <is>
          <t>Order Intake m²</t>
        </is>
      </c>
      <c r="D4" s="25" t="inlineStr">
        <is>
          <t>Ventas Total m²</t>
        </is>
      </c>
      <c r="E4" s="25" t="inlineStr">
        <is>
          <t>Budget m² (paneles)</t>
        </is>
      </c>
      <c r="F4" s="25" t="inlineStr">
        <is>
          <t>% Cumpl. Budget</t>
        </is>
      </c>
      <c r="G4" s="25" t="inlineStr">
        <is>
          <t>Semáforo</t>
        </is>
      </c>
      <c r="H4" s="25" t="inlineStr">
        <is>
          <t>Backlog paneles m²</t>
        </is>
      </c>
      <c r="I4" s="25" t="inlineStr">
        <is>
          <t>Backlog otros m²</t>
        </is>
      </c>
      <c r="J4" s="25" t="inlineStr">
        <is>
          <t>Clave orden (aux)</t>
        </is>
      </c>
      <c r="L4" s="77" t="inlineStr">
        <is>
          <t>#</t>
        </is>
      </c>
      <c r="M4" s="77" t="inlineStr">
        <is>
          <t>Ranking – Fuente gráfico (mayor → menor cumplimiento)</t>
        </is>
      </c>
      <c r="N4" s="77" t="inlineStr">
        <is>
          <t>% Cumpl.</t>
        </is>
      </c>
      <c r="O4" s="77" t="inlineStr">
        <is>
          <t>Ventas m²</t>
        </is>
      </c>
      <c r="P4" s="77" t="inlineStr">
        <is>
          <t>Budget m²</t>
        </is>
      </c>
    </row>
    <row r="5">
      <c r="A5" s="31" t="inlineStr">
        <is>
          <t>KAM ACOUNT MANAGER ECUADOR</t>
        </is>
      </c>
      <c r="B5" s="31" t="inlineStr">
        <is>
          <t xml:space="preserve">KAM 2 - Ecuador </t>
        </is>
      </c>
      <c r="C5" s="27" t="n">
        <v>0</v>
      </c>
      <c r="D5" s="27" t="n">
        <v>7006</v>
      </c>
      <c r="E5" s="78" t="n">
        <v>59844</v>
      </c>
      <c r="F5" s="45">
        <f>IF(A5="","",IF(E5=0,0,D5/E5))</f>
        <v/>
      </c>
      <c r="G5" s="79">
        <f>IF(F5="","",IF(F5&gt;=1,"Verde",IF(F5&gt;=0.7,"Ámbar","Rojo")))</f>
        <v/>
      </c>
      <c r="H5" s="27" t="n">
        <v>0</v>
      </c>
      <c r="I5" s="27" t="n">
        <v>0</v>
      </c>
      <c r="J5" s="80">
        <f>IF(A5="","",F5+D5/1000000000+(100-ROW())/1000000000000)</f>
        <v/>
      </c>
      <c r="L5" s="32" t="n">
        <v>1</v>
      </c>
      <c r="M5" s="30">
        <f>IF(L5&gt;COUNT($J$5:$J$19),"",INDEX($B$5:$B$19,MATCH(LARGE($J$5:$J$19,L5),$J$5:$J$19,0)))</f>
        <v/>
      </c>
      <c r="N5" s="45">
        <f>IF(M5="","",INDEX($F$5:$F$19,MATCH(LARGE($J$5:$J$19,L5),$J$5:$J$19,0)))</f>
        <v/>
      </c>
      <c r="O5" s="49">
        <f>IF(M5="","",INDEX($D$5:$D$19,MATCH(LARGE($J$5:$J$19,L5),$J$5:$J$19,0)))</f>
        <v/>
      </c>
      <c r="P5" s="49">
        <f>IF(M5="","",INDEX($E$5:$E$19,MATCH(LARGE($J$5:$J$19,L5),$J$5:$J$19,0)))</f>
        <v/>
      </c>
    </row>
    <row r="6">
      <c r="A6" s="31" t="inlineStr">
        <is>
          <t>TORRES AREVALO LAURA MARCELA</t>
        </is>
      </c>
      <c r="B6" s="31" t="inlineStr">
        <is>
          <t>Laura M. Torres</t>
        </is>
      </c>
      <c r="C6" s="27" t="n">
        <v>127061</v>
      </c>
      <c r="D6" s="27" t="n">
        <v>91114</v>
      </c>
      <c r="E6" s="78" t="n">
        <v>65564</v>
      </c>
      <c r="F6" s="45">
        <f>IF(A6="","",IF(E6=0,0,D6/E6))</f>
        <v/>
      </c>
      <c r="G6" s="79">
        <f>IF(F6="","",IF(F6&gt;=1,"Verde",IF(F6&gt;=0.7,"Ámbar","Rojo")))</f>
        <v/>
      </c>
      <c r="H6" s="27" t="n">
        <v>40920</v>
      </c>
      <c r="I6" s="27" t="n">
        <v>0</v>
      </c>
      <c r="J6" s="80">
        <f>IF(A6="","",F6+D6/1000000000+(100-ROW())/1000000000000)</f>
        <v/>
      </c>
      <c r="L6" s="32" t="n">
        <v>2</v>
      </c>
      <c r="M6" s="30">
        <f>IF(L6&gt;COUNT($J$5:$J$19),"",INDEX($B$5:$B$19,MATCH(LARGE($J$5:$J$19,L6),$J$5:$J$19,0)))</f>
        <v/>
      </c>
      <c r="N6" s="45">
        <f>IF(M6="","",INDEX($F$5:$F$19,MATCH(LARGE($J$5:$J$19,L6),$J$5:$J$19,0)))</f>
        <v/>
      </c>
      <c r="O6" s="49">
        <f>IF(M6="","",INDEX($D$5:$D$19,MATCH(LARGE($J$5:$J$19,L6),$J$5:$J$19,0)))</f>
        <v/>
      </c>
      <c r="P6" s="49">
        <f>IF(M6="","",INDEX($E$5:$E$19,MATCH(LARGE($J$5:$J$19,L6),$J$5:$J$19,0)))</f>
        <v/>
      </c>
    </row>
    <row r="7">
      <c r="A7" s="31" t="inlineStr">
        <is>
          <t>CALDERON DURAN MARIA YELITZA</t>
        </is>
      </c>
      <c r="B7" s="31" t="inlineStr">
        <is>
          <t>María Y. Calderón</t>
        </is>
      </c>
      <c r="C7" s="27" t="n">
        <v>46249</v>
      </c>
      <c r="D7" s="27" t="n">
        <v>26427</v>
      </c>
      <c r="E7" s="78" t="n">
        <v>19434</v>
      </c>
      <c r="F7" s="45">
        <f>IF(A7="","",IF(E7=0,0,D7/E7))</f>
        <v/>
      </c>
      <c r="G7" s="79">
        <f>IF(F7="","",IF(F7&gt;=1,"Verde",IF(F7&gt;=0.7,"Ámbar","Rojo")))</f>
        <v/>
      </c>
      <c r="H7" s="27" t="n">
        <v>21052</v>
      </c>
      <c r="I7" s="27" t="n">
        <v>247</v>
      </c>
      <c r="J7" s="80">
        <f>IF(A7="","",F7+D7/1000000000+(100-ROW())/1000000000000)</f>
        <v/>
      </c>
      <c r="L7" s="32" t="n">
        <v>3</v>
      </c>
      <c r="M7" s="30">
        <f>IF(L7&gt;COUNT($J$5:$J$19),"",INDEX($B$5:$B$19,MATCH(LARGE($J$5:$J$19,L7),$J$5:$J$19,0)))</f>
        <v/>
      </c>
      <c r="N7" s="45">
        <f>IF(M7="","",INDEX($F$5:$F$19,MATCH(LARGE($J$5:$J$19,L7),$J$5:$J$19,0)))</f>
        <v/>
      </c>
      <c r="O7" s="49">
        <f>IF(M7="","",INDEX($D$5:$D$19,MATCH(LARGE($J$5:$J$19,L7),$J$5:$J$19,0)))</f>
        <v/>
      </c>
      <c r="P7" s="49">
        <f>IF(M7="","",INDEX($E$5:$E$19,MATCH(LARGE($J$5:$J$19,L7),$J$5:$J$19,0)))</f>
        <v/>
      </c>
    </row>
    <row r="8">
      <c r="A8" s="31" t="inlineStr">
        <is>
          <t>HINOSTROZA GAMBOA ERICK</t>
        </is>
      </c>
      <c r="B8" s="31" t="inlineStr">
        <is>
          <t>Erick Hinostroza</t>
        </is>
      </c>
      <c r="C8" s="27" t="n">
        <v>22789</v>
      </c>
      <c r="D8" s="27" t="n">
        <v>23798</v>
      </c>
      <c r="E8" s="78" t="n">
        <v>23613</v>
      </c>
      <c r="F8" s="45">
        <f>IF(A8="","",IF(E8=0,0,D8/E8))</f>
        <v/>
      </c>
      <c r="G8" s="79">
        <f>IF(F8="","",IF(F8&gt;=1,"Verde",IF(F8&gt;=0.7,"Ámbar","Rojo")))</f>
        <v/>
      </c>
      <c r="H8" s="27" t="n">
        <v>1061</v>
      </c>
      <c r="I8" s="27" t="n">
        <v>0</v>
      </c>
      <c r="J8" s="80">
        <f>IF(A8="","",F8+D8/1000000000+(100-ROW())/1000000000000)</f>
        <v/>
      </c>
      <c r="L8" s="32" t="n">
        <v>4</v>
      </c>
      <c r="M8" s="30">
        <f>IF(L8&gt;COUNT($J$5:$J$19),"",INDEX($B$5:$B$19,MATCH(LARGE($J$5:$J$19,L8),$J$5:$J$19,0)))</f>
        <v/>
      </c>
      <c r="N8" s="45">
        <f>IF(M8="","",INDEX($F$5:$F$19,MATCH(LARGE($J$5:$J$19,L8),$J$5:$J$19,0)))</f>
        <v/>
      </c>
      <c r="O8" s="49">
        <f>IF(M8="","",INDEX($D$5:$D$19,MATCH(LARGE($J$5:$J$19,L8),$J$5:$J$19,0)))</f>
        <v/>
      </c>
      <c r="P8" s="49">
        <f>IF(M8="","",INDEX($E$5:$E$19,MATCH(LARGE($J$5:$J$19,L8),$J$5:$J$19,0)))</f>
        <v/>
      </c>
    </row>
    <row r="9">
      <c r="A9" s="31" t="inlineStr">
        <is>
          <t>RODRIGUEZ GONZALEZ CARLOS ALFREDO</t>
        </is>
      </c>
      <c r="B9" s="31" t="inlineStr">
        <is>
          <t>Carlos A. Rodríguez</t>
        </is>
      </c>
      <c r="C9" s="27" t="n">
        <v>119514</v>
      </c>
      <c r="D9" s="27" t="n">
        <v>112953</v>
      </c>
      <c r="E9" s="78" t="n">
        <v>111329</v>
      </c>
      <c r="F9" s="45">
        <f>IF(A9="","",IF(E9=0,0,D9/E9))</f>
        <v/>
      </c>
      <c r="G9" s="79">
        <f>IF(F9="","",IF(F9&gt;=1,"Verde",IF(F9&gt;=0.7,"Ámbar","Rojo")))</f>
        <v/>
      </c>
      <c r="H9" s="27" t="n">
        <v>54879</v>
      </c>
      <c r="I9" s="27" t="n">
        <v>0</v>
      </c>
      <c r="J9" s="80">
        <f>IF(A9="","",F9+D9/1000000000+(100-ROW())/1000000000000)</f>
        <v/>
      </c>
      <c r="L9" s="32" t="n">
        <v>5</v>
      </c>
      <c r="M9" s="30">
        <f>IF(L9&gt;COUNT($J$5:$J$19),"",INDEX($B$5:$B$19,MATCH(LARGE($J$5:$J$19,L9),$J$5:$J$19,0)))</f>
        <v/>
      </c>
      <c r="N9" s="45">
        <f>IF(M9="","",INDEX($F$5:$F$19,MATCH(LARGE($J$5:$J$19,L9),$J$5:$J$19,0)))</f>
        <v/>
      </c>
      <c r="O9" s="49">
        <f>IF(M9="","",INDEX($D$5:$D$19,MATCH(LARGE($J$5:$J$19,L9),$J$5:$J$19,0)))</f>
        <v/>
      </c>
      <c r="P9" s="49">
        <f>IF(M9="","",INDEX($E$5:$E$19,MATCH(LARGE($J$5:$J$19,L9),$J$5:$J$19,0)))</f>
        <v/>
      </c>
    </row>
    <row r="10">
      <c r="A10" s="31" t="inlineStr">
        <is>
          <t>KAM ACOUNT MANAGER COSTA RICA</t>
        </is>
      </c>
      <c r="B10" s="31" t="inlineStr">
        <is>
          <t xml:space="preserve">KAM  - Costa Rica </t>
        </is>
      </c>
      <c r="C10" s="27" t="n">
        <v>6245</v>
      </c>
      <c r="D10" s="27" t="n">
        <v>7471</v>
      </c>
      <c r="E10" s="78" t="n">
        <v>46495</v>
      </c>
      <c r="F10" s="45">
        <f>IF(A10="","",IF(E10=0,0,D10/E10))</f>
        <v/>
      </c>
      <c r="G10" s="79">
        <f>IF(F10="","",IF(F10&gt;=1,"Verde",IF(F10&gt;=0.7,"Ámbar","Rojo")))</f>
        <v/>
      </c>
      <c r="H10" s="27" t="n">
        <v>0</v>
      </c>
      <c r="I10" s="27" t="n">
        <v>0</v>
      </c>
      <c r="J10" s="80">
        <f>IF(A10="","",F10+D10/1000000000+(100-ROW())/1000000000000)</f>
        <v/>
      </c>
      <c r="L10" s="32" t="n">
        <v>6</v>
      </c>
      <c r="M10" s="30">
        <f>IF(L10&gt;COUNT($J$5:$J$19),"",INDEX($B$5:$B$19,MATCH(LARGE($J$5:$J$19,L10),$J$5:$J$19,0)))</f>
        <v/>
      </c>
      <c r="N10" s="45">
        <f>IF(M10="","",INDEX($F$5:$F$19,MATCH(LARGE($J$5:$J$19,L10),$J$5:$J$19,0)))</f>
        <v/>
      </c>
      <c r="O10" s="49">
        <f>IF(M10="","",INDEX($D$5:$D$19,MATCH(LARGE($J$5:$J$19,L10),$J$5:$J$19,0)))</f>
        <v/>
      </c>
      <c r="P10" s="49">
        <f>IF(M10="","",INDEX($E$5:$E$19,MATCH(LARGE($J$5:$J$19,L10),$J$5:$J$19,0)))</f>
        <v/>
      </c>
    </row>
    <row r="11">
      <c r="A11" s="31" t="inlineStr">
        <is>
          <t>NAVAS ESCOBAR MAYRA ALEJANDRA</t>
        </is>
      </c>
      <c r="B11" s="31" t="inlineStr">
        <is>
          <t>Mayra A. Navas</t>
        </is>
      </c>
      <c r="C11" s="27">
        <f>45379</f>
        <v/>
      </c>
      <c r="D11" s="27">
        <f>37307</f>
        <v/>
      </c>
      <c r="E11" s="78">
        <f>59834</f>
        <v/>
      </c>
      <c r="F11" s="45">
        <f>IF(A11="","",IF(E11=0,0,D11/E11))</f>
        <v/>
      </c>
      <c r="G11" s="79">
        <f>IF(F11="","",IF(F11&gt;=1,"Verde",IF(F11&gt;=0.7,"Ámbar","Rojo")))</f>
        <v/>
      </c>
      <c r="H11" s="27" t="n">
        <v>18220</v>
      </c>
      <c r="I11" s="27" t="n">
        <v>333</v>
      </c>
      <c r="J11" s="80">
        <f>IF(A11="","",F11+D11/1000000000+(100-ROW())/1000000000000)</f>
        <v/>
      </c>
      <c r="L11" s="32" t="n">
        <v>7</v>
      </c>
      <c r="M11" s="30">
        <f>IF(L11&gt;COUNT($J$5:$J$19),"",INDEX($B$5:$B$19,MATCH(LARGE($J$5:$J$19,L11),$J$5:$J$19,0)))</f>
        <v/>
      </c>
      <c r="N11" s="45">
        <f>IF(M11="","",INDEX($F$5:$F$19,MATCH(LARGE($J$5:$J$19,L11),$J$5:$J$19,0)))</f>
        <v/>
      </c>
      <c r="O11" s="49">
        <f>IF(M11="","",INDEX($D$5:$D$19,MATCH(LARGE($J$5:$J$19,L11),$J$5:$J$19,0)))</f>
        <v/>
      </c>
      <c r="P11" s="49">
        <f>IF(M11="","",INDEX($E$5:$E$19,MATCH(LARGE($J$5:$J$19,L11),$J$5:$J$19,0)))</f>
        <v/>
      </c>
    </row>
    <row r="12">
      <c r="A12" s="31" t="inlineStr">
        <is>
          <t>FERNANDINI MOLINA ANGIE PAOLA</t>
        </is>
      </c>
      <c r="B12" s="31" t="inlineStr">
        <is>
          <t>Angie P. Fernandini</t>
        </is>
      </c>
      <c r="C12" s="27" t="n">
        <v>0</v>
      </c>
      <c r="D12" s="27" t="n">
        <v>0</v>
      </c>
      <c r="E12" s="78" t="n">
        <v>2000</v>
      </c>
      <c r="F12" s="45">
        <f>IF(A12="","",IF(E12=0,0,D12/E12))</f>
        <v/>
      </c>
      <c r="G12" s="79">
        <f>IF(F12="","",IF(F12&gt;=1,"Verde",IF(F12&gt;=0.7,"Ámbar","Rojo")))</f>
        <v/>
      </c>
      <c r="H12" s="27" t="n">
        <v>0</v>
      </c>
      <c r="I12" s="27" t="n">
        <v>0</v>
      </c>
      <c r="J12" s="80">
        <f>IF(A12="","",F12+D12/1000000000+(100-ROW())/1000000000000)</f>
        <v/>
      </c>
      <c r="L12" s="32" t="n">
        <v>8</v>
      </c>
      <c r="M12" s="30">
        <f>IF(L12&gt;COUNT($J$5:$J$19),"",INDEX($B$5:$B$19,MATCH(LARGE($J$5:$J$19,L12),$J$5:$J$19,0)))</f>
        <v/>
      </c>
      <c r="N12" s="45">
        <f>IF(M12="","",INDEX($F$5:$F$19,MATCH(LARGE($J$5:$J$19,L12),$J$5:$J$19,0)))</f>
        <v/>
      </c>
      <c r="O12" s="49">
        <f>IF(M12="","",INDEX($D$5:$D$19,MATCH(LARGE($J$5:$J$19,L12),$J$5:$J$19,0)))</f>
        <v/>
      </c>
      <c r="P12" s="49">
        <f>IF(M12="","",INDEX($E$5:$E$19,MATCH(LARGE($J$5:$J$19,L12),$J$5:$J$19,0)))</f>
        <v/>
      </c>
    </row>
    <row r="13">
      <c r="A13" s="31" t="n"/>
      <c r="B13" s="31" t="n"/>
      <c r="C13" s="27" t="n"/>
      <c r="D13" s="27" t="n"/>
      <c r="E13" s="27" t="n"/>
      <c r="F13" s="45">
        <f>IF(A13="","",IF(E13=0,0,D13/E13))</f>
        <v/>
      </c>
      <c r="G13" s="79">
        <f>IF(F13="","",IF(F13&gt;=1,"Verde",IF(F13&gt;=0.7,"Ámbar","Rojo")))</f>
        <v/>
      </c>
      <c r="H13" s="27" t="n"/>
      <c r="I13" s="27" t="n"/>
      <c r="J13" s="80">
        <f>IF(A13="","",F13+D13/1000000000+(100-ROW())/1000000000000)</f>
        <v/>
      </c>
      <c r="L13" s="32" t="n">
        <v>9</v>
      </c>
      <c r="M13" s="30">
        <f>IF(L13&gt;COUNT($J$5:$J$19),"",INDEX($B$5:$B$19,MATCH(LARGE($J$5:$J$19,L13),$J$5:$J$19,0)))</f>
        <v/>
      </c>
      <c r="N13" s="45">
        <f>IF(M13="","",INDEX($F$5:$F$19,MATCH(LARGE($J$5:$J$19,L13),$J$5:$J$19,0)))</f>
        <v/>
      </c>
      <c r="O13" s="49">
        <f>IF(M13="","",INDEX($D$5:$D$19,MATCH(LARGE($J$5:$J$19,L13),$J$5:$J$19,0)))</f>
        <v/>
      </c>
      <c r="P13" s="49">
        <f>IF(M13="","",INDEX($E$5:$E$19,MATCH(LARGE($J$5:$J$19,L13),$J$5:$J$19,0)))</f>
        <v/>
      </c>
    </row>
    <row r="14">
      <c r="A14" s="31" t="n"/>
      <c r="B14" s="31" t="n"/>
      <c r="C14" s="27" t="n"/>
      <c r="D14" s="27" t="n"/>
      <c r="E14" s="27" t="n"/>
      <c r="F14" s="45">
        <f>IF(A14="","",IF(E14=0,0,D14/E14))</f>
        <v/>
      </c>
      <c r="G14" s="79">
        <f>IF(F14="","",IF(F14&gt;=1,"Verde",IF(F14&gt;=0.7,"Ámbar","Rojo")))</f>
        <v/>
      </c>
      <c r="H14" s="27" t="n"/>
      <c r="I14" s="27" t="n"/>
      <c r="J14" s="80">
        <f>IF(A14="","",F14+D14/1000000000+(100-ROW())/1000000000000)</f>
        <v/>
      </c>
      <c r="L14" s="32" t="n">
        <v>10</v>
      </c>
      <c r="M14" s="30">
        <f>IF(L14&gt;COUNT($J$5:$J$19),"",INDEX($B$5:$B$19,MATCH(LARGE($J$5:$J$19,L14),$J$5:$J$19,0)))</f>
        <v/>
      </c>
      <c r="N14" s="45">
        <f>IF(M14="","",INDEX($F$5:$F$19,MATCH(LARGE($J$5:$J$19,L14),$J$5:$J$19,0)))</f>
        <v/>
      </c>
      <c r="O14" s="49">
        <f>IF(M14="","",INDEX($D$5:$D$19,MATCH(LARGE($J$5:$J$19,L14),$J$5:$J$19,0)))</f>
        <v/>
      </c>
      <c r="P14" s="49">
        <f>IF(M14="","",INDEX($E$5:$E$19,MATCH(LARGE($J$5:$J$19,L14),$J$5:$J$19,0)))</f>
        <v/>
      </c>
    </row>
    <row r="15">
      <c r="A15" s="31" t="n"/>
      <c r="B15" s="31" t="n"/>
      <c r="C15" s="27" t="n"/>
      <c r="D15" s="27" t="n"/>
      <c r="E15" s="27" t="n"/>
      <c r="F15" s="45">
        <f>IF(A15="","",IF(E15=0,0,D15/E15))</f>
        <v/>
      </c>
      <c r="G15" s="79">
        <f>IF(F15="","",IF(F15&gt;=1,"Verde",IF(F15&gt;=0.7,"Ámbar","Rojo")))</f>
        <v/>
      </c>
      <c r="H15" s="27" t="n"/>
      <c r="I15" s="27" t="n"/>
      <c r="J15" s="80">
        <f>IF(A15="","",F15+D15/1000000000+(100-ROW())/1000000000000)</f>
        <v/>
      </c>
      <c r="L15" s="32" t="n">
        <v>11</v>
      </c>
      <c r="M15" s="30">
        <f>IF(L15&gt;COUNT($J$5:$J$19),"",INDEX($B$5:$B$19,MATCH(LARGE($J$5:$J$19,L15),$J$5:$J$19,0)))</f>
        <v/>
      </c>
      <c r="N15" s="45">
        <f>IF(M15="","",INDEX($F$5:$F$19,MATCH(LARGE($J$5:$J$19,L15),$J$5:$J$19,0)))</f>
        <v/>
      </c>
      <c r="O15" s="49">
        <f>IF(M15="","",INDEX($D$5:$D$19,MATCH(LARGE($J$5:$J$19,L15),$J$5:$J$19,0)))</f>
        <v/>
      </c>
      <c r="P15" s="49">
        <f>IF(M15="","",INDEX($E$5:$E$19,MATCH(LARGE($J$5:$J$19,L15),$J$5:$J$19,0)))</f>
        <v/>
      </c>
    </row>
    <row r="16">
      <c r="A16" s="31" t="n"/>
      <c r="B16" s="31" t="n"/>
      <c r="C16" s="27" t="n"/>
      <c r="D16" s="27" t="n"/>
      <c r="E16" s="27" t="n"/>
      <c r="F16" s="45">
        <f>IF(A16="","",IF(E16=0,0,D16/E16))</f>
        <v/>
      </c>
      <c r="G16" s="79">
        <f>IF(F16="","",IF(F16&gt;=1,"Verde",IF(F16&gt;=0.7,"Ámbar","Rojo")))</f>
        <v/>
      </c>
      <c r="H16" s="27" t="n"/>
      <c r="I16" s="27" t="n"/>
      <c r="J16" s="80">
        <f>IF(A16="","",F16+D16/1000000000+(100-ROW())/1000000000000)</f>
        <v/>
      </c>
      <c r="L16" s="32" t="n">
        <v>12</v>
      </c>
      <c r="M16" s="30">
        <f>IF(L16&gt;COUNT($J$5:$J$19),"",INDEX($B$5:$B$19,MATCH(LARGE($J$5:$J$19,L16),$J$5:$J$19,0)))</f>
        <v/>
      </c>
      <c r="N16" s="45">
        <f>IF(M16="","",INDEX($F$5:$F$19,MATCH(LARGE($J$5:$J$19,L16),$J$5:$J$19,0)))</f>
        <v/>
      </c>
      <c r="O16" s="49">
        <f>IF(M16="","",INDEX($D$5:$D$19,MATCH(LARGE($J$5:$J$19,L16),$J$5:$J$19,0)))</f>
        <v/>
      </c>
      <c r="P16" s="49">
        <f>IF(M16="","",INDEX($E$5:$E$19,MATCH(LARGE($J$5:$J$19,L16),$J$5:$J$19,0)))</f>
        <v/>
      </c>
    </row>
    <row r="17">
      <c r="A17" s="31" t="n"/>
      <c r="B17" s="31" t="n"/>
      <c r="C17" s="27" t="n"/>
      <c r="D17" s="27" t="n"/>
      <c r="E17" s="27" t="n"/>
      <c r="F17" s="45">
        <f>IF(A17="","",IF(E17=0,0,D17/E17))</f>
        <v/>
      </c>
      <c r="G17" s="79">
        <f>IF(F17="","",IF(F17&gt;=1,"Verde",IF(F17&gt;=0.7,"Ámbar","Rojo")))</f>
        <v/>
      </c>
      <c r="H17" s="27" t="n"/>
      <c r="I17" s="27" t="n"/>
      <c r="J17" s="80">
        <f>IF(A17="","",F17+D17/1000000000+(100-ROW())/1000000000000)</f>
        <v/>
      </c>
      <c r="L17" s="32" t="n">
        <v>13</v>
      </c>
      <c r="M17" s="30">
        <f>IF(L17&gt;COUNT($J$5:$J$19),"",INDEX($B$5:$B$19,MATCH(LARGE($J$5:$J$19,L17),$J$5:$J$19,0)))</f>
        <v/>
      </c>
      <c r="N17" s="45">
        <f>IF(M17="","",INDEX($F$5:$F$19,MATCH(LARGE($J$5:$J$19,L17),$J$5:$J$19,0)))</f>
        <v/>
      </c>
      <c r="O17" s="49">
        <f>IF(M17="","",INDEX($D$5:$D$19,MATCH(LARGE($J$5:$J$19,L17),$J$5:$J$19,0)))</f>
        <v/>
      </c>
      <c r="P17" s="49">
        <f>IF(M17="","",INDEX($E$5:$E$19,MATCH(LARGE($J$5:$J$19,L17),$J$5:$J$19,0)))</f>
        <v/>
      </c>
    </row>
    <row r="18">
      <c r="A18" s="31" t="n"/>
      <c r="B18" s="31" t="n"/>
      <c r="C18" s="27" t="n"/>
      <c r="D18" s="27" t="n"/>
      <c r="E18" s="27" t="n"/>
      <c r="F18" s="45">
        <f>IF(A18="","",IF(E18=0,0,D18/E18))</f>
        <v/>
      </c>
      <c r="G18" s="79">
        <f>IF(F18="","",IF(F18&gt;=1,"Verde",IF(F18&gt;=0.7,"Ámbar","Rojo")))</f>
        <v/>
      </c>
      <c r="H18" s="27" t="n"/>
      <c r="I18" s="27" t="n"/>
      <c r="J18" s="80">
        <f>IF(A18="","",F18+D18/1000000000+(100-ROW())/1000000000000)</f>
        <v/>
      </c>
      <c r="L18" s="32" t="n">
        <v>14</v>
      </c>
      <c r="M18" s="30">
        <f>IF(L18&gt;COUNT($J$5:$J$19),"",INDEX($B$5:$B$19,MATCH(LARGE($J$5:$J$19,L18),$J$5:$J$19,0)))</f>
        <v/>
      </c>
      <c r="N18" s="45">
        <f>IF(M18="","",INDEX($F$5:$F$19,MATCH(LARGE($J$5:$J$19,L18),$J$5:$J$19,0)))</f>
        <v/>
      </c>
      <c r="O18" s="49">
        <f>IF(M18="","",INDEX($D$5:$D$19,MATCH(LARGE($J$5:$J$19,L18),$J$5:$J$19,0)))</f>
        <v/>
      </c>
      <c r="P18" s="49">
        <f>IF(M18="","",INDEX($E$5:$E$19,MATCH(LARGE($J$5:$J$19,L18),$J$5:$J$19,0)))</f>
        <v/>
      </c>
    </row>
    <row r="19">
      <c r="A19" s="31" t="n"/>
      <c r="B19" s="31" t="n"/>
      <c r="C19" s="27" t="n"/>
      <c r="D19" s="27" t="n"/>
      <c r="E19" s="27" t="n"/>
      <c r="F19" s="45">
        <f>IF(A19="","",IF(E19=0,0,D19/E19))</f>
        <v/>
      </c>
      <c r="G19" s="79">
        <f>IF(F19="","",IF(F19&gt;=1,"Verde",IF(F19&gt;=0.7,"Ámbar","Rojo")))</f>
        <v/>
      </c>
      <c r="H19" s="27" t="n"/>
      <c r="I19" s="27" t="n"/>
      <c r="J19" s="80">
        <f>IF(A19="","",F19+D19/1000000000+(100-ROW())/1000000000000)</f>
        <v/>
      </c>
      <c r="L19" s="32" t="n">
        <v>15</v>
      </c>
      <c r="M19" s="30">
        <f>IF(L19&gt;COUNT($J$5:$J$19),"",INDEX($B$5:$B$19,MATCH(LARGE($J$5:$J$19,L19),$J$5:$J$19,0)))</f>
        <v/>
      </c>
      <c r="N19" s="45">
        <f>IF(M19="","",INDEX($F$5:$F$19,MATCH(LARGE($J$5:$J$19,L19),$J$5:$J$19,0)))</f>
        <v/>
      </c>
      <c r="O19" s="49">
        <f>IF(M19="","",INDEX($D$5:$D$19,MATCH(LARGE($J$5:$J$19,L19),$J$5:$J$19,0)))</f>
        <v/>
      </c>
      <c r="P19" s="49">
        <f>IF(M19="","",INDEX($E$5:$E$19,MATCH(LARGE($J$5:$J$19,L19),$J$5:$J$19,0)))</f>
        <v/>
      </c>
    </row>
    <row r="20">
      <c r="A20" s="33" t="inlineStr">
        <is>
          <t>TOTAL CANAL</t>
        </is>
      </c>
      <c r="B20" s="33">
        <f>COUNTA(A5:A19)&amp;" RSM"</f>
        <v/>
      </c>
      <c r="C20" s="34">
        <f>SUM(C5:C19)</f>
        <v/>
      </c>
      <c r="D20" s="34">
        <f>SUM(D5:D19)</f>
        <v/>
      </c>
      <c r="E20" s="34">
        <f>SUM(E5:E19)</f>
        <v/>
      </c>
      <c r="F20" s="48">
        <f>IF(E20=0,0,D20/E20)</f>
        <v/>
      </c>
      <c r="G20" s="33">
        <f>IF(F20&gt;=1,"Verde",IF(F20&gt;=0.7,"Ámbar","Rojo"))</f>
        <v/>
      </c>
      <c r="H20" s="34">
        <f>SUM(H5:H19)</f>
        <v/>
      </c>
      <c r="I20" s="34">
        <f>SUM(I5:I19)</f>
        <v/>
      </c>
    </row>
    <row r="22">
      <c r="A22" s="26" t="inlineStr">
        <is>
          <t>KPIs canal</t>
        </is>
      </c>
    </row>
    <row r="23">
      <c r="A23" s="30" t="inlineStr">
        <is>
          <t>RSM ≥100% budget</t>
        </is>
      </c>
      <c r="B23" s="32">
        <f>COUNTIF(F5:F19,"&gt;=1")</f>
        <v/>
      </c>
    </row>
    <row r="24">
      <c r="A24" s="30" t="inlineStr">
        <is>
          <t>RSM &lt;70% budget</t>
        </is>
      </c>
      <c r="B24" s="32">
        <f>COUNTIFS(F5:F19,"&lt;0.7",A5:A19,"&lt;&gt;")</f>
        <v/>
      </c>
    </row>
    <row r="25">
      <c r="A25" s="30" t="inlineStr">
        <is>
          <t>Brecha vs budget (m²)</t>
        </is>
      </c>
      <c r="B25" s="49">
        <f>D20-E20</f>
        <v/>
      </c>
    </row>
    <row r="26">
      <c r="A26" s="30" t="inlineStr">
        <is>
          <t>Backlog total (m²)</t>
        </is>
      </c>
      <c r="B26" s="49">
        <f>H20+I20</f>
        <v/>
      </c>
    </row>
    <row r="27">
      <c r="A27" s="30" t="inlineStr">
        <is>
          <t>Book-to-bill (OI/Ventas)</t>
        </is>
      </c>
      <c r="B27" s="29">
        <f>IFERROR(C20/D20,"")</f>
        <v/>
      </c>
    </row>
  </sheetData>
  <conditionalFormatting sqref="F5:F20">
    <cfRule type="cellIs" priority="2" operator="greaterThanOrEqual" dxfId="3">
      <formula>1</formula>
    </cfRule>
    <cfRule type="cellIs" priority="3" operator="between" dxfId="6">
      <formula>0.7</formula>
      <formula>0.9999</formula>
    </cfRule>
    <cfRule type="cellIs" priority="4" operator="lessThan" dxfId="5">
      <formula>0.7</formula>
    </cfRule>
  </conditionalFormatting>
  <conditionalFormatting sqref="N5:N19">
    <cfRule type="cellIs" priority="5" operator="greaterThanOrEqual" dxfId="3">
      <formula>1</formula>
    </cfRule>
    <cfRule type="cellIs" priority="6" operator="between" dxfId="6">
      <formula>0.7</formula>
      <formula>0.9999</formula>
    </cfRule>
    <cfRule type="cellIs" priority="7" operator="lessThan" dxfId="5">
      <formula>0.7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FF061530"/>
    <outlinePr summaryBelow="1" summaryRight="1"/>
    <pageSetUpPr/>
  </sheetPr>
  <dimension ref="A1:P27"/>
  <sheetViews>
    <sheetView showGridLines="0" zoomScaleNormal="100" workbookViewId="0">
      <selection activeCell="F9" sqref="E9:F13"/>
    </sheetView>
  </sheetViews>
  <sheetFormatPr baseColWidth="10" defaultColWidth="8.7109375" defaultRowHeight="15"/>
  <cols>
    <col width="38" customWidth="1" min="1" max="1"/>
    <col width="22" customWidth="1" min="2" max="2"/>
    <col width="13" customWidth="1" min="3" max="4"/>
    <col width="14" customWidth="1" min="5" max="5"/>
    <col width="11" customWidth="1" min="6" max="6"/>
    <col width="10" customWidth="1" min="7" max="7"/>
    <col width="13" customWidth="1" min="8" max="8"/>
    <col width="12" customWidth="1" min="9" max="10"/>
    <col width="2" customWidth="1" min="11" max="11"/>
    <col width="5" customWidth="1" min="12" max="12"/>
    <col width="26" customWidth="1" min="13" max="13"/>
    <col width="10" customWidth="1" min="14" max="14"/>
    <col width="12" customWidth="1" min="15" max="16"/>
  </cols>
  <sheetData>
    <row r="1" ht="18" customHeight="1">
      <c r="A1" s="2" t="inlineStr">
        <is>
          <t>12 · RSM Refrigeración (Cold Storage) – Cumplimiento y Backlog (YTD)  [detalle interno – no se presenta en el deck]</t>
        </is>
      </c>
    </row>
    <row r="2">
      <c r="A2" s="24" t="inlineStr">
        <is>
          <t>Diligencie la tabla izquierda; el ranking (derecha), totales y semáforos se calculan solos</t>
        </is>
      </c>
    </row>
    <row r="4" ht="30" customHeight="1">
      <c r="A4" s="25" t="inlineStr">
        <is>
          <t>RSM (nombre completo)</t>
        </is>
      </c>
      <c r="B4" s="25" t="inlineStr">
        <is>
          <t>Nombre corto (slide)</t>
        </is>
      </c>
      <c r="C4" s="25" t="inlineStr">
        <is>
          <t>Order Intake m²</t>
        </is>
      </c>
      <c r="D4" s="25" t="inlineStr">
        <is>
          <t>Ventas Total m²</t>
        </is>
      </c>
      <c r="E4" s="25" t="inlineStr">
        <is>
          <t>Budget m² (paneles)</t>
        </is>
      </c>
      <c r="F4" s="25" t="inlineStr">
        <is>
          <t>% Cumpl. Budget</t>
        </is>
      </c>
      <c r="G4" s="25" t="inlineStr">
        <is>
          <t>Semáforo</t>
        </is>
      </c>
      <c r="H4" s="25" t="inlineStr">
        <is>
          <t>Backlog paneles m²</t>
        </is>
      </c>
      <c r="I4" s="25" t="inlineStr">
        <is>
          <t>Backlog otros m²</t>
        </is>
      </c>
      <c r="J4" s="25" t="inlineStr">
        <is>
          <t>Clave orden (aux)</t>
        </is>
      </c>
      <c r="L4" s="77" t="inlineStr">
        <is>
          <t>#</t>
        </is>
      </c>
      <c r="M4" s="77" t="inlineStr">
        <is>
          <t>Ranking – Fuente gráfico (mayor → menor cumplimiento)</t>
        </is>
      </c>
      <c r="N4" s="77" t="inlineStr">
        <is>
          <t>% Cumpl.</t>
        </is>
      </c>
      <c r="O4" s="77" t="inlineStr">
        <is>
          <t>Ventas m²</t>
        </is>
      </c>
      <c r="P4" s="77" t="inlineStr">
        <is>
          <t>Budget m²</t>
        </is>
      </c>
    </row>
    <row r="5">
      <c r="A5" s="31" t="inlineStr">
        <is>
          <t>RODRIGUEZ HENAO LAURA MARCELA</t>
        </is>
      </c>
      <c r="B5" s="31" t="inlineStr">
        <is>
          <t>Laura M. Rodríguez</t>
        </is>
      </c>
      <c r="C5" s="27" t="n">
        <v>20966</v>
      </c>
      <c r="D5" s="27" t="n">
        <v>5303</v>
      </c>
      <c r="E5" s="27" t="n">
        <v>4500</v>
      </c>
      <c r="F5" s="45">
        <f>IF(A5="","",IF(E5=0,0,D5/E5))</f>
        <v/>
      </c>
      <c r="G5" s="79">
        <f>IF(F5="","",IF(F5&gt;=1,"Verde",IF(F5&gt;=0.7,"Ámbar","Rojo")))</f>
        <v/>
      </c>
      <c r="H5" s="27" t="n">
        <v>15042</v>
      </c>
      <c r="I5" s="27" t="n">
        <v>468</v>
      </c>
      <c r="J5" s="80">
        <f>IF(A5="","",F5+D5/1000000000+(100-ROW())/1000000000000)</f>
        <v/>
      </c>
      <c r="L5" s="32" t="n">
        <v>1</v>
      </c>
      <c r="M5" s="30">
        <f>IF(L5&gt;COUNT($J$5:$J$19),"",INDEX($B$5:$B$19,MATCH(LARGE($J$5:$J$19,L5),$J$5:$J$19,0)))</f>
        <v/>
      </c>
      <c r="N5" s="45">
        <f>IF(M5="","",INDEX($F$5:$F$19,MATCH(LARGE($J$5:$J$19,L5),$J$5:$J$19,0)))</f>
        <v/>
      </c>
      <c r="O5" s="49">
        <f>IF(M5="","",INDEX($D$5:$D$19,MATCH(LARGE($J$5:$J$19,L5),$J$5:$J$19,0)))</f>
        <v/>
      </c>
      <c r="P5" s="49">
        <f>IF(M5="","",INDEX($E$5:$E$19,MATCH(LARGE($J$5:$J$19,L5),$J$5:$J$19,0)))</f>
        <v/>
      </c>
    </row>
    <row r="6">
      <c r="A6" s="31" t="inlineStr">
        <is>
          <t>MENENDEZ ICABALCETA JUAN CARLOS</t>
        </is>
      </c>
      <c r="B6" s="31" t="inlineStr">
        <is>
          <t>Juan C. Menéndez</t>
        </is>
      </c>
      <c r="C6" s="27" t="n">
        <v>0</v>
      </c>
      <c r="D6" s="27" t="n">
        <v>0</v>
      </c>
      <c r="E6" s="27" t="n">
        <v>3000</v>
      </c>
      <c r="F6" s="45">
        <f>IF(A6="","",IF(E6=0,0,D6/E6))</f>
        <v/>
      </c>
      <c r="G6" s="79">
        <f>IF(F6="","",IF(F6&gt;=1,"Verde",IF(F6&gt;=0.7,"Ámbar","Rojo")))</f>
        <v/>
      </c>
      <c r="H6" s="27" t="n">
        <v>0</v>
      </c>
      <c r="I6" s="27" t="n">
        <v>0</v>
      </c>
      <c r="J6" s="80">
        <f>IF(A6="","",F6+D6/1000000000+(100-ROW())/1000000000000)</f>
        <v/>
      </c>
      <c r="L6" s="32" t="n">
        <v>2</v>
      </c>
      <c r="M6" s="30">
        <f>IF(L6&gt;COUNT($J$5:$J$19),"",INDEX($B$5:$B$19,MATCH(LARGE($J$5:$J$19,L6),$J$5:$J$19,0)))</f>
        <v/>
      </c>
      <c r="N6" s="45">
        <f>IF(M6="","",INDEX($F$5:$F$19,MATCH(LARGE($J$5:$J$19,L6),$J$5:$J$19,0)))</f>
        <v/>
      </c>
      <c r="O6" s="49">
        <f>IF(M6="","",INDEX($D$5:$D$19,MATCH(LARGE($J$5:$J$19,L6),$J$5:$J$19,0)))</f>
        <v/>
      </c>
      <c r="P6" s="49">
        <f>IF(M6="","",INDEX($E$5:$E$19,MATCH(LARGE($J$5:$J$19,L6),$J$5:$J$19,0)))</f>
        <v/>
      </c>
    </row>
    <row r="7">
      <c r="A7" s="31" t="inlineStr">
        <is>
          <t>URIBE JIMENEZ SANDRA MILENA</t>
        </is>
      </c>
      <c r="B7" s="31" t="inlineStr">
        <is>
          <t>Sandra M. Uribe</t>
        </is>
      </c>
      <c r="C7" s="27" t="n">
        <v>15459</v>
      </c>
      <c r="D7" s="27" t="n">
        <v>3888</v>
      </c>
      <c r="E7" s="78" t="n">
        <v>2500</v>
      </c>
      <c r="F7" s="45">
        <f>IF(A7="","",IF(E7=0,0,D7/E7))</f>
        <v/>
      </c>
      <c r="G7" s="79">
        <f>IF(F7="","",IF(F7&gt;=1,"Verde",IF(F7&gt;=0.7,"Ámbar","Rojo")))</f>
        <v/>
      </c>
      <c r="H7" s="27" t="n">
        <v>12191</v>
      </c>
      <c r="I7" s="27" t="n">
        <v>2734</v>
      </c>
      <c r="J7" s="80">
        <f>IF(A7="","",F7+D7/1000000000+(100-ROW())/1000000000000)</f>
        <v/>
      </c>
      <c r="L7" s="32" t="n">
        <v>3</v>
      </c>
      <c r="M7" s="30">
        <f>IF(L7&gt;COUNT($J$5:$J$19),"",INDEX($B$5:$B$19,MATCH(LARGE($J$5:$J$19,L7),$J$5:$J$19,0)))</f>
        <v/>
      </c>
      <c r="N7" s="45">
        <f>IF(M7="","",INDEX($F$5:$F$19,MATCH(LARGE($J$5:$J$19,L7),$J$5:$J$19,0)))</f>
        <v/>
      </c>
      <c r="O7" s="49">
        <f>IF(M7="","",INDEX($D$5:$D$19,MATCH(LARGE($J$5:$J$19,L7),$J$5:$J$19,0)))</f>
        <v/>
      </c>
      <c r="P7" s="49">
        <f>IF(M7="","",INDEX($E$5:$E$19,MATCH(LARGE($J$5:$J$19,L7),$J$5:$J$19,0)))</f>
        <v/>
      </c>
    </row>
    <row r="8">
      <c r="A8" s="31" t="n"/>
      <c r="B8" s="31" t="n"/>
      <c r="C8" s="27" t="n"/>
      <c r="D8" s="27" t="n"/>
      <c r="E8" s="27" t="n"/>
      <c r="F8" s="45">
        <f>IF(A8="","",IF(E8=0,0,D8/E8))</f>
        <v/>
      </c>
      <c r="G8" s="79">
        <f>IF(F8="","",IF(F8&gt;=1,"Verde",IF(F8&gt;=0.7,"Ámbar","Rojo")))</f>
        <v/>
      </c>
      <c r="H8" s="27" t="n"/>
      <c r="I8" s="27" t="n"/>
      <c r="J8" s="80">
        <f>IF(A8="","",F8+D8/1000000000+(100-ROW())/1000000000000)</f>
        <v/>
      </c>
      <c r="L8" s="32" t="n">
        <v>4</v>
      </c>
      <c r="M8" s="30">
        <f>IF(L8&gt;COUNT($J$5:$J$19),"",INDEX($B$5:$B$19,MATCH(LARGE($J$5:$J$19,L8),$J$5:$J$19,0)))</f>
        <v/>
      </c>
      <c r="N8" s="45">
        <f>IF(M8="","",INDEX($F$5:$F$19,MATCH(LARGE($J$5:$J$19,L8),$J$5:$J$19,0)))</f>
        <v/>
      </c>
      <c r="O8" s="49">
        <f>IF(M8="","",INDEX($D$5:$D$19,MATCH(LARGE($J$5:$J$19,L8),$J$5:$J$19,0)))</f>
        <v/>
      </c>
      <c r="P8" s="49">
        <f>IF(M8="","",INDEX($E$5:$E$19,MATCH(LARGE($J$5:$J$19,L8),$J$5:$J$19,0)))</f>
        <v/>
      </c>
    </row>
    <row r="9">
      <c r="A9" s="31" t="n"/>
      <c r="B9" s="31" t="n"/>
      <c r="C9" s="27" t="n"/>
      <c r="D9" s="27" t="n"/>
      <c r="E9" s="27" t="n"/>
      <c r="F9" s="45">
        <f>IF(A9="","",IF(E9=0,0,D9/E9))</f>
        <v/>
      </c>
      <c r="G9" s="79">
        <f>IF(F9="","",IF(F9&gt;=1,"Verde",IF(F9&gt;=0.7,"Ámbar","Rojo")))</f>
        <v/>
      </c>
      <c r="H9" s="27" t="n"/>
      <c r="I9" s="27" t="n"/>
      <c r="J9" s="80">
        <f>IF(A9="","",F9+D9/1000000000+(100-ROW())/1000000000000)</f>
        <v/>
      </c>
      <c r="L9" s="32" t="n">
        <v>5</v>
      </c>
      <c r="M9" s="30">
        <f>IF(L9&gt;COUNT($J$5:$J$19),"",INDEX($B$5:$B$19,MATCH(LARGE($J$5:$J$19,L9),$J$5:$J$19,0)))</f>
        <v/>
      </c>
      <c r="N9" s="45">
        <f>IF(M9="","",INDEX($F$5:$F$19,MATCH(LARGE($J$5:$J$19,L9),$J$5:$J$19,0)))</f>
        <v/>
      </c>
      <c r="O9" s="49">
        <f>IF(M9="","",INDEX($D$5:$D$19,MATCH(LARGE($J$5:$J$19,L9),$J$5:$J$19,0)))</f>
        <v/>
      </c>
      <c r="P9" s="49">
        <f>IF(M9="","",INDEX($E$5:$E$19,MATCH(LARGE($J$5:$J$19,L9),$J$5:$J$19,0)))</f>
        <v/>
      </c>
    </row>
    <row r="10">
      <c r="A10" s="31" t="n"/>
      <c r="B10" s="31" t="n"/>
      <c r="C10" s="27" t="n"/>
      <c r="D10" s="27" t="n"/>
      <c r="E10" s="27" t="n"/>
      <c r="F10" s="45">
        <f>IF(A10="","",IF(E10=0,0,D10/E10))</f>
        <v/>
      </c>
      <c r="G10" s="79">
        <f>IF(F10="","",IF(F10&gt;=1,"Verde",IF(F10&gt;=0.7,"Ámbar","Rojo")))</f>
        <v/>
      </c>
      <c r="H10" s="27" t="n"/>
      <c r="I10" s="27" t="n"/>
      <c r="J10" s="80">
        <f>IF(A10="","",F10+D10/1000000000+(100-ROW())/1000000000000)</f>
        <v/>
      </c>
      <c r="L10" s="32" t="n">
        <v>6</v>
      </c>
      <c r="M10" s="30">
        <f>IF(L10&gt;COUNT($J$5:$J$19),"",INDEX($B$5:$B$19,MATCH(LARGE($J$5:$J$19,L10),$J$5:$J$19,0)))</f>
        <v/>
      </c>
      <c r="N10" s="45">
        <f>IF(M10="","",INDEX($F$5:$F$19,MATCH(LARGE($J$5:$J$19,L10),$J$5:$J$19,0)))</f>
        <v/>
      </c>
      <c r="O10" s="49">
        <f>IF(M10="","",INDEX($D$5:$D$19,MATCH(LARGE($J$5:$J$19,L10),$J$5:$J$19,0)))</f>
        <v/>
      </c>
      <c r="P10" s="49">
        <f>IF(M10="","",INDEX($E$5:$E$19,MATCH(LARGE($J$5:$J$19,L10),$J$5:$J$19,0)))</f>
        <v/>
      </c>
    </row>
    <row r="11">
      <c r="A11" s="31" t="n"/>
      <c r="B11" s="31" t="n"/>
      <c r="C11" s="27" t="n"/>
      <c r="D11" s="27" t="n"/>
      <c r="E11" s="27" t="n"/>
      <c r="F11" s="45">
        <f>IF(A11="","",IF(E11=0,0,D11/E11))</f>
        <v/>
      </c>
      <c r="G11" s="79">
        <f>IF(F11="","",IF(F11&gt;=1,"Verde",IF(F11&gt;=0.7,"Ámbar","Rojo")))</f>
        <v/>
      </c>
      <c r="H11" s="27" t="n"/>
      <c r="I11" s="27" t="n"/>
      <c r="J11" s="80">
        <f>IF(A11="","",F11+D11/1000000000+(100-ROW())/1000000000000)</f>
        <v/>
      </c>
      <c r="L11" s="32" t="n">
        <v>7</v>
      </c>
      <c r="M11" s="30">
        <f>IF(L11&gt;COUNT($J$5:$J$19),"",INDEX($B$5:$B$19,MATCH(LARGE($J$5:$J$19,L11),$J$5:$J$19,0)))</f>
        <v/>
      </c>
      <c r="N11" s="45">
        <f>IF(M11="","",INDEX($F$5:$F$19,MATCH(LARGE($J$5:$J$19,L11),$J$5:$J$19,0)))</f>
        <v/>
      </c>
      <c r="O11" s="49">
        <f>IF(M11="","",INDEX($D$5:$D$19,MATCH(LARGE($J$5:$J$19,L11),$J$5:$J$19,0)))</f>
        <v/>
      </c>
      <c r="P11" s="49">
        <f>IF(M11="","",INDEX($E$5:$E$19,MATCH(LARGE($J$5:$J$19,L11),$J$5:$J$19,0)))</f>
        <v/>
      </c>
    </row>
    <row r="12">
      <c r="A12" s="31" t="n"/>
      <c r="B12" s="31" t="n"/>
      <c r="C12" s="27" t="n"/>
      <c r="D12" s="27" t="n"/>
      <c r="E12" s="27" t="n"/>
      <c r="F12" s="45">
        <f>IF(A12="","",IF(E12=0,0,D12/E12))</f>
        <v/>
      </c>
      <c r="G12" s="79">
        <f>IF(F12="","",IF(F12&gt;=1,"Verde",IF(F12&gt;=0.7,"Ámbar","Rojo")))</f>
        <v/>
      </c>
      <c r="H12" s="27" t="n"/>
      <c r="I12" s="27" t="n"/>
      <c r="J12" s="80">
        <f>IF(A12="","",F12+D12/1000000000+(100-ROW())/1000000000000)</f>
        <v/>
      </c>
      <c r="L12" s="32" t="n">
        <v>8</v>
      </c>
      <c r="M12" s="30">
        <f>IF(L12&gt;COUNT($J$5:$J$19),"",INDEX($B$5:$B$19,MATCH(LARGE($J$5:$J$19,L12),$J$5:$J$19,0)))</f>
        <v/>
      </c>
      <c r="N12" s="45">
        <f>IF(M12="","",INDEX($F$5:$F$19,MATCH(LARGE($J$5:$J$19,L12),$J$5:$J$19,0)))</f>
        <v/>
      </c>
      <c r="O12" s="49">
        <f>IF(M12="","",INDEX($D$5:$D$19,MATCH(LARGE($J$5:$J$19,L12),$J$5:$J$19,0)))</f>
        <v/>
      </c>
      <c r="P12" s="49">
        <f>IF(M12="","",INDEX($E$5:$E$19,MATCH(LARGE($J$5:$J$19,L12),$J$5:$J$19,0)))</f>
        <v/>
      </c>
    </row>
    <row r="13">
      <c r="A13" s="31" t="n"/>
      <c r="B13" s="31" t="n"/>
      <c r="C13" s="27" t="n"/>
      <c r="D13" s="27" t="n"/>
      <c r="E13" s="27" t="n"/>
      <c r="F13" s="45">
        <f>IF(A13="","",IF(E13=0,0,D13/E13))</f>
        <v/>
      </c>
      <c r="G13" s="79">
        <f>IF(F13="","",IF(F13&gt;=1,"Verde",IF(F13&gt;=0.7,"Ámbar","Rojo")))</f>
        <v/>
      </c>
      <c r="H13" s="27" t="n"/>
      <c r="I13" s="27" t="n"/>
      <c r="J13" s="80">
        <f>IF(A13="","",F13+D13/1000000000+(100-ROW())/1000000000000)</f>
        <v/>
      </c>
      <c r="L13" s="32" t="n">
        <v>9</v>
      </c>
      <c r="M13" s="30">
        <f>IF(L13&gt;COUNT($J$5:$J$19),"",INDEX($B$5:$B$19,MATCH(LARGE($J$5:$J$19,L13),$J$5:$J$19,0)))</f>
        <v/>
      </c>
      <c r="N13" s="45">
        <f>IF(M13="","",INDEX($F$5:$F$19,MATCH(LARGE($J$5:$J$19,L13),$J$5:$J$19,0)))</f>
        <v/>
      </c>
      <c r="O13" s="49">
        <f>IF(M13="","",INDEX($D$5:$D$19,MATCH(LARGE($J$5:$J$19,L13),$J$5:$J$19,0)))</f>
        <v/>
      </c>
      <c r="P13" s="49">
        <f>IF(M13="","",INDEX($E$5:$E$19,MATCH(LARGE($J$5:$J$19,L13),$J$5:$J$19,0)))</f>
        <v/>
      </c>
    </row>
    <row r="14">
      <c r="A14" s="31" t="n"/>
      <c r="B14" s="31" t="n"/>
      <c r="C14" s="27" t="n"/>
      <c r="D14" s="27" t="n"/>
      <c r="E14" s="27" t="n"/>
      <c r="F14" s="45">
        <f>IF(A14="","",IF(E14=0,0,D14/E14))</f>
        <v/>
      </c>
      <c r="G14" s="79">
        <f>IF(F14="","",IF(F14&gt;=1,"Verde",IF(F14&gt;=0.7,"Ámbar","Rojo")))</f>
        <v/>
      </c>
      <c r="H14" s="27" t="n"/>
      <c r="I14" s="27" t="n"/>
      <c r="J14" s="80">
        <f>IF(A14="","",F14+D14/1000000000+(100-ROW())/1000000000000)</f>
        <v/>
      </c>
      <c r="L14" s="32" t="n">
        <v>10</v>
      </c>
      <c r="M14" s="30">
        <f>IF(L14&gt;COUNT($J$5:$J$19),"",INDEX($B$5:$B$19,MATCH(LARGE($J$5:$J$19,L14),$J$5:$J$19,0)))</f>
        <v/>
      </c>
      <c r="N14" s="45">
        <f>IF(M14="","",INDEX($F$5:$F$19,MATCH(LARGE($J$5:$J$19,L14),$J$5:$J$19,0)))</f>
        <v/>
      </c>
      <c r="O14" s="49">
        <f>IF(M14="","",INDEX($D$5:$D$19,MATCH(LARGE($J$5:$J$19,L14),$J$5:$J$19,0)))</f>
        <v/>
      </c>
      <c r="P14" s="49">
        <f>IF(M14="","",INDEX($E$5:$E$19,MATCH(LARGE($J$5:$J$19,L14),$J$5:$J$19,0)))</f>
        <v/>
      </c>
    </row>
    <row r="15">
      <c r="A15" s="31" t="n"/>
      <c r="B15" s="31" t="n"/>
      <c r="C15" s="27" t="n"/>
      <c r="D15" s="27" t="n"/>
      <c r="E15" s="27" t="n"/>
      <c r="F15" s="45">
        <f>IF(A15="","",IF(E15=0,0,D15/E15))</f>
        <v/>
      </c>
      <c r="G15" s="79">
        <f>IF(F15="","",IF(F15&gt;=1,"Verde",IF(F15&gt;=0.7,"Ámbar","Rojo")))</f>
        <v/>
      </c>
      <c r="H15" s="27" t="n"/>
      <c r="I15" s="27" t="n"/>
      <c r="J15" s="80">
        <f>IF(A15="","",F15+D15/1000000000+(100-ROW())/1000000000000)</f>
        <v/>
      </c>
      <c r="L15" s="32" t="n">
        <v>11</v>
      </c>
      <c r="M15" s="30">
        <f>IF(L15&gt;COUNT($J$5:$J$19),"",INDEX($B$5:$B$19,MATCH(LARGE($J$5:$J$19,L15),$J$5:$J$19,0)))</f>
        <v/>
      </c>
      <c r="N15" s="45">
        <f>IF(M15="","",INDEX($F$5:$F$19,MATCH(LARGE($J$5:$J$19,L15),$J$5:$J$19,0)))</f>
        <v/>
      </c>
      <c r="O15" s="49">
        <f>IF(M15="","",INDEX($D$5:$D$19,MATCH(LARGE($J$5:$J$19,L15),$J$5:$J$19,0)))</f>
        <v/>
      </c>
      <c r="P15" s="49">
        <f>IF(M15="","",INDEX($E$5:$E$19,MATCH(LARGE($J$5:$J$19,L15),$J$5:$J$19,0)))</f>
        <v/>
      </c>
    </row>
    <row r="16">
      <c r="A16" s="31" t="n"/>
      <c r="B16" s="31" t="n"/>
      <c r="C16" s="27" t="n"/>
      <c r="D16" s="27" t="n"/>
      <c r="E16" s="27" t="n"/>
      <c r="F16" s="45">
        <f>IF(A16="","",IF(E16=0,0,D16/E16))</f>
        <v/>
      </c>
      <c r="G16" s="79">
        <f>IF(F16="","",IF(F16&gt;=1,"Verde",IF(F16&gt;=0.7,"Ámbar","Rojo")))</f>
        <v/>
      </c>
      <c r="H16" s="27" t="n"/>
      <c r="I16" s="27" t="n"/>
      <c r="J16" s="80">
        <f>IF(A16="","",F16+D16/1000000000+(100-ROW())/1000000000000)</f>
        <v/>
      </c>
      <c r="L16" s="32" t="n">
        <v>12</v>
      </c>
      <c r="M16" s="30">
        <f>IF(L16&gt;COUNT($J$5:$J$19),"",INDEX($B$5:$B$19,MATCH(LARGE($J$5:$J$19,L16),$J$5:$J$19,0)))</f>
        <v/>
      </c>
      <c r="N16" s="45">
        <f>IF(M16="","",INDEX($F$5:$F$19,MATCH(LARGE($J$5:$J$19,L16),$J$5:$J$19,0)))</f>
        <v/>
      </c>
      <c r="O16" s="49">
        <f>IF(M16="","",INDEX($D$5:$D$19,MATCH(LARGE($J$5:$J$19,L16),$J$5:$J$19,0)))</f>
        <v/>
      </c>
      <c r="P16" s="49">
        <f>IF(M16="","",INDEX($E$5:$E$19,MATCH(LARGE($J$5:$J$19,L16),$J$5:$J$19,0)))</f>
        <v/>
      </c>
    </row>
    <row r="17">
      <c r="A17" s="31" t="n"/>
      <c r="B17" s="31" t="n"/>
      <c r="C17" s="27" t="n"/>
      <c r="D17" s="27" t="n"/>
      <c r="E17" s="27" t="n"/>
      <c r="F17" s="45">
        <f>IF(A17="","",IF(E17=0,0,D17/E17))</f>
        <v/>
      </c>
      <c r="G17" s="79">
        <f>IF(F17="","",IF(F17&gt;=1,"Verde",IF(F17&gt;=0.7,"Ámbar","Rojo")))</f>
        <v/>
      </c>
      <c r="H17" s="27" t="n"/>
      <c r="I17" s="27" t="n"/>
      <c r="J17" s="80">
        <f>IF(A17="","",F17+D17/1000000000+(100-ROW())/1000000000000)</f>
        <v/>
      </c>
      <c r="L17" s="32" t="n">
        <v>13</v>
      </c>
      <c r="M17" s="30">
        <f>IF(L17&gt;COUNT($J$5:$J$19),"",INDEX($B$5:$B$19,MATCH(LARGE($J$5:$J$19,L17),$J$5:$J$19,0)))</f>
        <v/>
      </c>
      <c r="N17" s="45">
        <f>IF(M17="","",INDEX($F$5:$F$19,MATCH(LARGE($J$5:$J$19,L17),$J$5:$J$19,0)))</f>
        <v/>
      </c>
      <c r="O17" s="49">
        <f>IF(M17="","",INDEX($D$5:$D$19,MATCH(LARGE($J$5:$J$19,L17),$J$5:$J$19,0)))</f>
        <v/>
      </c>
      <c r="P17" s="49">
        <f>IF(M17="","",INDEX($E$5:$E$19,MATCH(LARGE($J$5:$J$19,L17),$J$5:$J$19,0)))</f>
        <v/>
      </c>
    </row>
    <row r="18">
      <c r="A18" s="31" t="n"/>
      <c r="B18" s="31" t="n"/>
      <c r="C18" s="27" t="n"/>
      <c r="D18" s="27" t="n"/>
      <c r="E18" s="27" t="n"/>
      <c r="F18" s="45">
        <f>IF(A18="","",IF(E18=0,0,D18/E18))</f>
        <v/>
      </c>
      <c r="G18" s="79">
        <f>IF(F18="","",IF(F18&gt;=1,"Verde",IF(F18&gt;=0.7,"Ámbar","Rojo")))</f>
        <v/>
      </c>
      <c r="H18" s="27" t="n"/>
      <c r="I18" s="27" t="n"/>
      <c r="J18" s="80">
        <f>IF(A18="","",F18+D18/1000000000+(100-ROW())/1000000000000)</f>
        <v/>
      </c>
      <c r="L18" s="32" t="n">
        <v>14</v>
      </c>
      <c r="M18" s="30">
        <f>IF(L18&gt;COUNT($J$5:$J$19),"",INDEX($B$5:$B$19,MATCH(LARGE($J$5:$J$19,L18),$J$5:$J$19,0)))</f>
        <v/>
      </c>
      <c r="N18" s="45">
        <f>IF(M18="","",INDEX($F$5:$F$19,MATCH(LARGE($J$5:$J$19,L18),$J$5:$J$19,0)))</f>
        <v/>
      </c>
      <c r="O18" s="49">
        <f>IF(M18="","",INDEX($D$5:$D$19,MATCH(LARGE($J$5:$J$19,L18),$J$5:$J$19,0)))</f>
        <v/>
      </c>
      <c r="P18" s="49">
        <f>IF(M18="","",INDEX($E$5:$E$19,MATCH(LARGE($J$5:$J$19,L18),$J$5:$J$19,0)))</f>
        <v/>
      </c>
    </row>
    <row r="19">
      <c r="A19" s="31" t="n"/>
      <c r="B19" s="31" t="n"/>
      <c r="C19" s="27" t="n"/>
      <c r="D19" s="27" t="n"/>
      <c r="E19" s="27" t="n"/>
      <c r="F19" s="45">
        <f>IF(A19="","",IF(E19=0,0,D19/E19))</f>
        <v/>
      </c>
      <c r="G19" s="79">
        <f>IF(F19="","",IF(F19&gt;=1,"Verde",IF(F19&gt;=0.7,"Ámbar","Rojo")))</f>
        <v/>
      </c>
      <c r="H19" s="27" t="n"/>
      <c r="I19" s="27" t="n"/>
      <c r="J19" s="80">
        <f>IF(A19="","",F19+D19/1000000000+(100-ROW())/1000000000000)</f>
        <v/>
      </c>
      <c r="L19" s="32" t="n">
        <v>15</v>
      </c>
      <c r="M19" s="30">
        <f>IF(L19&gt;COUNT($J$5:$J$19),"",INDEX($B$5:$B$19,MATCH(LARGE($J$5:$J$19,L19),$J$5:$J$19,0)))</f>
        <v/>
      </c>
      <c r="N19" s="45">
        <f>IF(M19="","",INDEX($F$5:$F$19,MATCH(LARGE($J$5:$J$19,L19),$J$5:$J$19,0)))</f>
        <v/>
      </c>
      <c r="O19" s="49">
        <f>IF(M19="","",INDEX($D$5:$D$19,MATCH(LARGE($J$5:$J$19,L19),$J$5:$J$19,0)))</f>
        <v/>
      </c>
      <c r="P19" s="49">
        <f>IF(M19="","",INDEX($E$5:$E$19,MATCH(LARGE($J$5:$J$19,L19),$J$5:$J$19,0)))</f>
        <v/>
      </c>
    </row>
    <row r="20">
      <c r="A20" s="33" t="inlineStr">
        <is>
          <t>TOTAL CANAL</t>
        </is>
      </c>
      <c r="B20" s="33">
        <f>COUNTA(A5:A19)&amp;" RSM"</f>
        <v/>
      </c>
      <c r="C20" s="34">
        <f>SUM(C5:C19)</f>
        <v/>
      </c>
      <c r="D20" s="34">
        <f>SUM(D5:D19)</f>
        <v/>
      </c>
      <c r="E20" s="34">
        <f>SUM(E5:E19)</f>
        <v/>
      </c>
      <c r="F20" s="48">
        <f>IF(E20=0,0,D20/E20)</f>
        <v/>
      </c>
      <c r="G20" s="33">
        <f>IF(F20&gt;=1,"Verde",IF(F20&gt;=0.7,"Ámbar","Rojo"))</f>
        <v/>
      </c>
      <c r="H20" s="34">
        <f>SUM(H5:H19)</f>
        <v/>
      </c>
      <c r="I20" s="34">
        <f>SUM(I5:I19)</f>
        <v/>
      </c>
    </row>
    <row r="22">
      <c r="A22" s="26" t="inlineStr">
        <is>
          <t>KPIs canal</t>
        </is>
      </c>
    </row>
    <row r="23">
      <c r="A23" s="30" t="inlineStr">
        <is>
          <t>RSM ≥100% budget</t>
        </is>
      </c>
      <c r="B23" s="32">
        <f>COUNTIF(F5:F19,"&gt;=1")</f>
        <v/>
      </c>
    </row>
    <row r="24">
      <c r="A24" s="30" t="inlineStr">
        <is>
          <t>RSM &lt;70% budget</t>
        </is>
      </c>
      <c r="B24" s="32">
        <f>COUNTIFS(F5:F19,"&lt;0.7",A5:A19,"&lt;&gt;")</f>
        <v/>
      </c>
    </row>
    <row r="25">
      <c r="A25" s="30" t="inlineStr">
        <is>
          <t>Brecha vs budget (m²)</t>
        </is>
      </c>
      <c r="B25" s="49">
        <f>D20-E20</f>
        <v/>
      </c>
    </row>
    <row r="26">
      <c r="A26" s="30" t="inlineStr">
        <is>
          <t>Backlog total (m²)</t>
        </is>
      </c>
      <c r="B26" s="49">
        <f>H20+I20</f>
        <v/>
      </c>
    </row>
    <row r="27">
      <c r="A27" s="30" t="inlineStr">
        <is>
          <t>Book-to-bill (OI/Ventas)</t>
        </is>
      </c>
      <c r="B27" s="29">
        <f>IFERROR(C20/D20,"")</f>
        <v/>
      </c>
    </row>
  </sheetData>
  <conditionalFormatting sqref="F5:F20">
    <cfRule type="cellIs" priority="2" operator="greaterThanOrEqual" dxfId="3">
      <formula>1</formula>
    </cfRule>
    <cfRule type="cellIs" priority="3" operator="between" dxfId="6">
      <formula>0.7</formula>
      <formula>0.9999</formula>
    </cfRule>
    <cfRule type="cellIs" priority="4" operator="lessThan" dxfId="5">
      <formula>0.7</formula>
    </cfRule>
  </conditionalFormatting>
  <conditionalFormatting sqref="N5:N19">
    <cfRule type="cellIs" priority="5" operator="greaterThanOrEqual" dxfId="3">
      <formula>1</formula>
    </cfRule>
    <cfRule type="cellIs" priority="6" operator="between" dxfId="6">
      <formula>0.7</formula>
      <formula>0.9999</formula>
    </cfRule>
    <cfRule type="cellIs" priority="7" operator="lessThan" dxfId="5">
      <formula>0.7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FF061530"/>
    <outlinePr summaryBelow="1" summaryRight="1"/>
    <pageSetUpPr/>
  </sheetPr>
  <dimension ref="A1:P27"/>
  <sheetViews>
    <sheetView showGridLines="0" zoomScaleNormal="100" workbookViewId="0">
      <selection activeCell="D19" sqref="D19"/>
    </sheetView>
  </sheetViews>
  <sheetFormatPr baseColWidth="10" defaultColWidth="8.7109375" defaultRowHeight="15"/>
  <cols>
    <col width="38" customWidth="1" min="1" max="1"/>
    <col width="22" customWidth="1" min="2" max="2"/>
    <col width="13" customWidth="1" min="3" max="4"/>
    <col width="14" customWidth="1" min="5" max="5"/>
    <col width="11" customWidth="1" min="6" max="6"/>
    <col width="10" customWidth="1" min="7" max="7"/>
    <col width="13" customWidth="1" min="8" max="8"/>
    <col width="12" customWidth="1" min="9" max="10"/>
    <col width="2" customWidth="1" min="11" max="11"/>
    <col width="5" customWidth="1" min="12" max="12"/>
    <col width="26" customWidth="1" min="13" max="13"/>
    <col width="10" customWidth="1" min="14" max="14"/>
    <col width="12" customWidth="1" min="15" max="16"/>
  </cols>
  <sheetData>
    <row r="1" ht="18" customHeight="1">
      <c r="A1" s="2" t="inlineStr">
        <is>
          <t>13 · RSM Site Cali – Cumplimiento y Backlog (YTD)  [detalle interno – no se presenta en el deck]</t>
        </is>
      </c>
    </row>
    <row r="2">
      <c r="A2" s="24" t="inlineStr">
        <is>
          <t>Diligencie la tabla izquierda; el ranking (derecha), totales y semáforos se calculan solos</t>
        </is>
      </c>
    </row>
    <row r="4" ht="30" customHeight="1">
      <c r="A4" s="25" t="inlineStr">
        <is>
          <t>RSM (nombre completo)</t>
        </is>
      </c>
      <c r="B4" s="25" t="inlineStr">
        <is>
          <t>Nombre corto (slide)</t>
        </is>
      </c>
      <c r="C4" s="25" t="inlineStr">
        <is>
          <t>Order Intake m²</t>
        </is>
      </c>
      <c r="D4" s="25" t="inlineStr">
        <is>
          <t>Ventas Total m²</t>
        </is>
      </c>
      <c r="E4" s="25" t="inlineStr">
        <is>
          <t>Budget m² (paneles)</t>
        </is>
      </c>
      <c r="F4" s="25" t="inlineStr">
        <is>
          <t>% Cumpl. Budget</t>
        </is>
      </c>
      <c r="G4" s="25" t="inlineStr">
        <is>
          <t>Semáforo</t>
        </is>
      </c>
      <c r="H4" s="25" t="inlineStr">
        <is>
          <t>Backlog paneles m²</t>
        </is>
      </c>
      <c r="I4" s="25" t="inlineStr">
        <is>
          <t>Backlog otros m²</t>
        </is>
      </c>
      <c r="J4" s="25" t="inlineStr">
        <is>
          <t>Clave orden (aux)</t>
        </is>
      </c>
      <c r="L4" s="77" t="inlineStr">
        <is>
          <t>#</t>
        </is>
      </c>
      <c r="M4" s="77" t="inlineStr">
        <is>
          <t>Ranking – Fuente gráfico (mayor → menor cumplimiento)</t>
        </is>
      </c>
      <c r="N4" s="77" t="inlineStr">
        <is>
          <t>% Cumpl.</t>
        </is>
      </c>
      <c r="O4" s="77" t="inlineStr">
        <is>
          <t>Ventas m²</t>
        </is>
      </c>
      <c r="P4" s="77" t="inlineStr">
        <is>
          <t>Budget m²</t>
        </is>
      </c>
    </row>
    <row r="5">
      <c r="A5" s="31" t="inlineStr">
        <is>
          <t>ALTAMIRANO PUENTES YAZMIN</t>
        </is>
      </c>
      <c r="B5" s="31" t="inlineStr">
        <is>
          <t>Yazmín Altamirano</t>
        </is>
      </c>
      <c r="C5" s="27" t="n">
        <v>52792</v>
      </c>
      <c r="D5" s="27" t="n">
        <v>42195</v>
      </c>
      <c r="E5" s="27" t="n">
        <v>23401</v>
      </c>
      <c r="F5" s="45">
        <f>IF(A5="","",IF(E5=0,0,D5/E5))</f>
        <v/>
      </c>
      <c r="G5" s="79">
        <f>IF(F5="","",IF(F5&gt;=1,"Verde",IF(F5&gt;=0.7,"Ámbar","Rojo")))</f>
        <v/>
      </c>
      <c r="H5" s="27" t="n">
        <v>8580</v>
      </c>
      <c r="I5" s="27" t="n">
        <v>456</v>
      </c>
      <c r="J5" s="80">
        <f>IF(A5="","",F5+D5/1000000000+(100-ROW())/1000000000000)</f>
        <v/>
      </c>
      <c r="L5" s="32" t="n">
        <v>1</v>
      </c>
      <c r="M5" s="30">
        <f>IF(L5&gt;COUNT($J$5:$J$19),"",INDEX($B$5:$B$19,MATCH(LARGE($J$5:$J$19,L5),$J$5:$J$19,0)))</f>
        <v/>
      </c>
      <c r="N5" s="45">
        <f>IF(M5="","",INDEX($F$5:$F$19,MATCH(LARGE($J$5:$J$19,L5),$J$5:$J$19,0)))</f>
        <v/>
      </c>
      <c r="O5" s="49">
        <f>IF(M5="","",INDEX($D$5:$D$19,MATCH(LARGE($J$5:$J$19,L5),$J$5:$J$19,0)))</f>
        <v/>
      </c>
      <c r="P5" s="49">
        <f>IF(M5="","",INDEX($E$5:$E$19,MATCH(LARGE($J$5:$J$19,L5),$J$5:$J$19,0)))</f>
        <v/>
      </c>
    </row>
    <row r="6">
      <c r="A6" s="31" t="inlineStr">
        <is>
          <t>CALDERON CHANTRE DIEGO ALFONSO</t>
        </is>
      </c>
      <c r="B6" s="31" t="inlineStr">
        <is>
          <t>Diego A. Calderón</t>
        </is>
      </c>
      <c r="C6" s="27">
        <f>81941+5399</f>
        <v/>
      </c>
      <c r="D6" s="27">
        <f>54854+9666</f>
        <v/>
      </c>
      <c r="E6" s="27">
        <f>50460+37595</f>
        <v/>
      </c>
      <c r="F6" s="45">
        <f>IF(A6="","",IF(E6=0,0,D6/E6))</f>
        <v/>
      </c>
      <c r="G6" s="79">
        <f>IF(F6="","",IF(F6&gt;=1,"Verde",IF(F6&gt;=0.7,"Ámbar","Rojo")))</f>
        <v/>
      </c>
      <c r="H6" s="27" t="n">
        <v>25839</v>
      </c>
      <c r="I6" s="27" t="n">
        <v>14490</v>
      </c>
      <c r="J6" s="80">
        <f>IF(A6="","",F6+D6/1000000000+(100-ROW())/1000000000000)</f>
        <v/>
      </c>
      <c r="L6" s="32" t="n">
        <v>2</v>
      </c>
      <c r="M6" s="30">
        <f>IF(L6&gt;COUNT($J$5:$J$19),"",INDEX($B$5:$B$19,MATCH(LARGE($J$5:$J$19,L6),$J$5:$J$19,0)))</f>
        <v/>
      </c>
      <c r="N6" s="45">
        <f>IF(M6="","",INDEX($F$5:$F$19,MATCH(LARGE($J$5:$J$19,L6),$J$5:$J$19,0)))</f>
        <v/>
      </c>
      <c r="O6" s="49">
        <f>IF(M6="","",INDEX($D$5:$D$19,MATCH(LARGE($J$5:$J$19,L6),$J$5:$J$19,0)))</f>
        <v/>
      </c>
      <c r="P6" s="49">
        <f>IF(M6="","",INDEX($E$5:$E$19,MATCH(LARGE($J$5:$J$19,L6),$J$5:$J$19,0)))</f>
        <v/>
      </c>
    </row>
    <row r="7">
      <c r="A7" s="31" t="n"/>
      <c r="B7" s="31" t="n"/>
      <c r="C7" s="27" t="n"/>
      <c r="D7" s="27" t="n"/>
      <c r="E7" s="27" t="n"/>
      <c r="F7" s="45">
        <f>IF(A7="","",IF(E7=0,0,D7/E7))</f>
        <v/>
      </c>
      <c r="G7" s="79">
        <f>IF(F7="","",IF(F7&gt;=1,"Verde",IF(F7&gt;=0.7,"Ámbar","Rojo")))</f>
        <v/>
      </c>
      <c r="H7" s="27" t="n"/>
      <c r="I7" s="27" t="n"/>
      <c r="J7" s="80">
        <f>IF(A7="","",F7+D7/1000000000+(100-ROW())/1000000000000)</f>
        <v/>
      </c>
      <c r="L7" s="32" t="n">
        <v>3</v>
      </c>
      <c r="M7" s="30">
        <f>IF(L7&gt;COUNT($J$5:$J$19),"",INDEX($B$5:$B$19,MATCH(LARGE($J$5:$J$19,L7),$J$5:$J$19,0)))</f>
        <v/>
      </c>
      <c r="N7" s="45">
        <f>IF(M7="","",INDEX($F$5:$F$19,MATCH(LARGE($J$5:$J$19,L7),$J$5:$J$19,0)))</f>
        <v/>
      </c>
      <c r="O7" s="49">
        <f>IF(M7="","",INDEX($D$5:$D$19,MATCH(LARGE($J$5:$J$19,L7),$J$5:$J$19,0)))</f>
        <v/>
      </c>
      <c r="P7" s="49">
        <f>IF(M7="","",INDEX($E$5:$E$19,MATCH(LARGE($J$5:$J$19,L7),$J$5:$J$19,0)))</f>
        <v/>
      </c>
    </row>
    <row r="8">
      <c r="A8" s="31" t="n"/>
      <c r="B8" s="31" t="n"/>
      <c r="C8" s="27" t="n"/>
      <c r="D8" s="27" t="n"/>
      <c r="E8" s="27" t="n"/>
      <c r="F8" s="45">
        <f>IF(A8="","",IF(E8=0,0,D8/E8))</f>
        <v/>
      </c>
      <c r="G8" s="79">
        <f>IF(F8="","",IF(F8&gt;=1,"Verde",IF(F8&gt;=0.7,"Ámbar","Rojo")))</f>
        <v/>
      </c>
      <c r="H8" s="27" t="n"/>
      <c r="I8" s="27" t="n"/>
      <c r="J8" s="80">
        <f>IF(A8="","",F8+D8/1000000000+(100-ROW())/1000000000000)</f>
        <v/>
      </c>
      <c r="L8" s="32" t="n">
        <v>4</v>
      </c>
      <c r="M8" s="30">
        <f>IF(L8&gt;COUNT($J$5:$J$19),"",INDEX($B$5:$B$19,MATCH(LARGE($J$5:$J$19,L8),$J$5:$J$19,0)))</f>
        <v/>
      </c>
      <c r="N8" s="45">
        <f>IF(M8="","",INDEX($F$5:$F$19,MATCH(LARGE($J$5:$J$19,L8),$J$5:$J$19,0)))</f>
        <v/>
      </c>
      <c r="O8" s="49">
        <f>IF(M8="","",INDEX($D$5:$D$19,MATCH(LARGE($J$5:$J$19,L8),$J$5:$J$19,0)))</f>
        <v/>
      </c>
      <c r="P8" s="49">
        <f>IF(M8="","",INDEX($E$5:$E$19,MATCH(LARGE($J$5:$J$19,L8),$J$5:$J$19,0)))</f>
        <v/>
      </c>
    </row>
    <row r="9">
      <c r="A9" s="31" t="n"/>
      <c r="B9" s="31" t="n"/>
      <c r="C9" s="27" t="n"/>
      <c r="D9" s="27" t="n"/>
      <c r="E9" s="27" t="n"/>
      <c r="F9" s="45">
        <f>IF(A9="","",IF(E9=0,0,D9/E9))</f>
        <v/>
      </c>
      <c r="G9" s="79">
        <f>IF(F9="","",IF(F9&gt;=1,"Verde",IF(F9&gt;=0.7,"Ámbar","Rojo")))</f>
        <v/>
      </c>
      <c r="H9" s="27" t="n"/>
      <c r="I9" s="27" t="n"/>
      <c r="J9" s="80">
        <f>IF(A9="","",F9+D9/1000000000+(100-ROW())/1000000000000)</f>
        <v/>
      </c>
      <c r="L9" s="32" t="n">
        <v>5</v>
      </c>
      <c r="M9" s="30">
        <f>IF(L9&gt;COUNT($J$5:$J$19),"",INDEX($B$5:$B$19,MATCH(LARGE($J$5:$J$19,L9),$J$5:$J$19,0)))</f>
        <v/>
      </c>
      <c r="N9" s="45">
        <f>IF(M9="","",INDEX($F$5:$F$19,MATCH(LARGE($J$5:$J$19,L9),$J$5:$J$19,0)))</f>
        <v/>
      </c>
      <c r="O9" s="49">
        <f>IF(M9="","",INDEX($D$5:$D$19,MATCH(LARGE($J$5:$J$19,L9),$J$5:$J$19,0)))</f>
        <v/>
      </c>
      <c r="P9" s="49">
        <f>IF(M9="","",INDEX($E$5:$E$19,MATCH(LARGE($J$5:$J$19,L9),$J$5:$J$19,0)))</f>
        <v/>
      </c>
    </row>
    <row r="10">
      <c r="A10" s="31" t="n"/>
      <c r="B10" s="31" t="n"/>
      <c r="C10" s="27" t="n"/>
      <c r="D10" s="27" t="n"/>
      <c r="E10" s="27" t="n"/>
      <c r="F10" s="45">
        <f>IF(A10="","",IF(E10=0,0,D10/E10))</f>
        <v/>
      </c>
      <c r="G10" s="79">
        <f>IF(F10="","",IF(F10&gt;=1,"Verde",IF(F10&gt;=0.7,"Ámbar","Rojo")))</f>
        <v/>
      </c>
      <c r="H10" s="27" t="n"/>
      <c r="I10" s="27" t="n"/>
      <c r="J10" s="80">
        <f>IF(A10="","",F10+D10/1000000000+(100-ROW())/1000000000000)</f>
        <v/>
      </c>
      <c r="L10" s="32" t="n">
        <v>6</v>
      </c>
      <c r="M10" s="30">
        <f>IF(L10&gt;COUNT($J$5:$J$19),"",INDEX($B$5:$B$19,MATCH(LARGE($J$5:$J$19,L10),$J$5:$J$19,0)))</f>
        <v/>
      </c>
      <c r="N10" s="45">
        <f>IF(M10="","",INDEX($F$5:$F$19,MATCH(LARGE($J$5:$J$19,L10),$J$5:$J$19,0)))</f>
        <v/>
      </c>
      <c r="O10" s="49">
        <f>IF(M10="","",INDEX($D$5:$D$19,MATCH(LARGE($J$5:$J$19,L10),$J$5:$J$19,0)))</f>
        <v/>
      </c>
      <c r="P10" s="49">
        <f>IF(M10="","",INDEX($E$5:$E$19,MATCH(LARGE($J$5:$J$19,L10),$J$5:$J$19,0)))</f>
        <v/>
      </c>
    </row>
    <row r="11">
      <c r="A11" s="31" t="n"/>
      <c r="B11" s="31" t="n"/>
      <c r="C11" s="27" t="n"/>
      <c r="D11" s="27" t="n"/>
      <c r="E11" s="27" t="n"/>
      <c r="F11" s="45">
        <f>IF(A11="","",IF(E11=0,0,D11/E11))</f>
        <v/>
      </c>
      <c r="G11" s="79">
        <f>IF(F11="","",IF(F11&gt;=1,"Verde",IF(F11&gt;=0.7,"Ámbar","Rojo")))</f>
        <v/>
      </c>
      <c r="H11" s="27" t="n"/>
      <c r="I11" s="27" t="n"/>
      <c r="J11" s="80">
        <f>IF(A11="","",F11+D11/1000000000+(100-ROW())/1000000000000)</f>
        <v/>
      </c>
      <c r="L11" s="32" t="n">
        <v>7</v>
      </c>
      <c r="M11" s="30">
        <f>IF(L11&gt;COUNT($J$5:$J$19),"",INDEX($B$5:$B$19,MATCH(LARGE($J$5:$J$19,L11),$J$5:$J$19,0)))</f>
        <v/>
      </c>
      <c r="N11" s="45">
        <f>IF(M11="","",INDEX($F$5:$F$19,MATCH(LARGE($J$5:$J$19,L11),$J$5:$J$19,0)))</f>
        <v/>
      </c>
      <c r="O11" s="49">
        <f>IF(M11="","",INDEX($D$5:$D$19,MATCH(LARGE($J$5:$J$19,L11),$J$5:$J$19,0)))</f>
        <v/>
      </c>
      <c r="P11" s="49">
        <f>IF(M11="","",INDEX($E$5:$E$19,MATCH(LARGE($J$5:$J$19,L11),$J$5:$J$19,0)))</f>
        <v/>
      </c>
    </row>
    <row r="12">
      <c r="A12" s="31" t="n"/>
      <c r="B12" s="31" t="n"/>
      <c r="C12" s="27" t="n"/>
      <c r="D12" s="27" t="n"/>
      <c r="E12" s="27" t="n"/>
      <c r="F12" s="45">
        <f>IF(A12="","",IF(E12=0,0,D12/E12))</f>
        <v/>
      </c>
      <c r="G12" s="79">
        <f>IF(F12="","",IF(F12&gt;=1,"Verde",IF(F12&gt;=0.7,"Ámbar","Rojo")))</f>
        <v/>
      </c>
      <c r="H12" s="27" t="n"/>
      <c r="I12" s="27" t="n"/>
      <c r="J12" s="80">
        <f>IF(A12="","",F12+D12/1000000000+(100-ROW())/1000000000000)</f>
        <v/>
      </c>
      <c r="L12" s="32" t="n">
        <v>8</v>
      </c>
      <c r="M12" s="30">
        <f>IF(L12&gt;COUNT($J$5:$J$19),"",INDEX($B$5:$B$19,MATCH(LARGE($J$5:$J$19,L12),$J$5:$J$19,0)))</f>
        <v/>
      </c>
      <c r="N12" s="45">
        <f>IF(M12="","",INDEX($F$5:$F$19,MATCH(LARGE($J$5:$J$19,L12),$J$5:$J$19,0)))</f>
        <v/>
      </c>
      <c r="O12" s="49">
        <f>IF(M12="","",INDEX($D$5:$D$19,MATCH(LARGE($J$5:$J$19,L12),$J$5:$J$19,0)))</f>
        <v/>
      </c>
      <c r="P12" s="49">
        <f>IF(M12="","",INDEX($E$5:$E$19,MATCH(LARGE($J$5:$J$19,L12),$J$5:$J$19,0)))</f>
        <v/>
      </c>
    </row>
    <row r="13">
      <c r="A13" s="31" t="n"/>
      <c r="B13" s="31" t="n"/>
      <c r="C13" s="27" t="n"/>
      <c r="D13" s="27" t="n"/>
      <c r="E13" s="27" t="n"/>
      <c r="F13" s="45">
        <f>IF(A13="","",IF(E13=0,0,D13/E13))</f>
        <v/>
      </c>
      <c r="G13" s="79">
        <f>IF(F13="","",IF(F13&gt;=1,"Verde",IF(F13&gt;=0.7,"Ámbar","Rojo")))</f>
        <v/>
      </c>
      <c r="H13" s="27" t="n"/>
      <c r="I13" s="27" t="n"/>
      <c r="J13" s="80">
        <f>IF(A13="","",F13+D13/1000000000+(100-ROW())/1000000000000)</f>
        <v/>
      </c>
      <c r="L13" s="32" t="n">
        <v>9</v>
      </c>
      <c r="M13" s="30">
        <f>IF(L13&gt;COUNT($J$5:$J$19),"",INDEX($B$5:$B$19,MATCH(LARGE($J$5:$J$19,L13),$J$5:$J$19,0)))</f>
        <v/>
      </c>
      <c r="N13" s="45">
        <f>IF(M13="","",INDEX($F$5:$F$19,MATCH(LARGE($J$5:$J$19,L13),$J$5:$J$19,0)))</f>
        <v/>
      </c>
      <c r="O13" s="49">
        <f>IF(M13="","",INDEX($D$5:$D$19,MATCH(LARGE($J$5:$J$19,L13),$J$5:$J$19,0)))</f>
        <v/>
      </c>
      <c r="P13" s="49">
        <f>IF(M13="","",INDEX($E$5:$E$19,MATCH(LARGE($J$5:$J$19,L13),$J$5:$J$19,0)))</f>
        <v/>
      </c>
    </row>
    <row r="14">
      <c r="A14" s="31" t="n"/>
      <c r="B14" s="31" t="n"/>
      <c r="C14" s="27" t="n"/>
      <c r="D14" s="27" t="n"/>
      <c r="E14" s="27" t="n"/>
      <c r="F14" s="45">
        <f>IF(A14="","",IF(E14=0,0,D14/E14))</f>
        <v/>
      </c>
      <c r="G14" s="79">
        <f>IF(F14="","",IF(F14&gt;=1,"Verde",IF(F14&gt;=0.7,"Ámbar","Rojo")))</f>
        <v/>
      </c>
      <c r="H14" s="27" t="n"/>
      <c r="I14" s="27" t="n"/>
      <c r="J14" s="80">
        <f>IF(A14="","",F14+D14/1000000000+(100-ROW())/1000000000000)</f>
        <v/>
      </c>
      <c r="L14" s="32" t="n">
        <v>10</v>
      </c>
      <c r="M14" s="30">
        <f>IF(L14&gt;COUNT($J$5:$J$19),"",INDEX($B$5:$B$19,MATCH(LARGE($J$5:$J$19,L14),$J$5:$J$19,0)))</f>
        <v/>
      </c>
      <c r="N14" s="45">
        <f>IF(M14="","",INDEX($F$5:$F$19,MATCH(LARGE($J$5:$J$19,L14),$J$5:$J$19,0)))</f>
        <v/>
      </c>
      <c r="O14" s="49">
        <f>IF(M14="","",INDEX($D$5:$D$19,MATCH(LARGE($J$5:$J$19,L14),$J$5:$J$19,0)))</f>
        <v/>
      </c>
      <c r="P14" s="49">
        <f>IF(M14="","",INDEX($E$5:$E$19,MATCH(LARGE($J$5:$J$19,L14),$J$5:$J$19,0)))</f>
        <v/>
      </c>
    </row>
    <row r="15">
      <c r="A15" s="31" t="n"/>
      <c r="B15" s="31" t="n"/>
      <c r="C15" s="27" t="n"/>
      <c r="D15" s="27" t="n"/>
      <c r="E15" s="27" t="n"/>
      <c r="F15" s="45">
        <f>IF(A15="","",IF(E15=0,0,D15/E15))</f>
        <v/>
      </c>
      <c r="G15" s="79">
        <f>IF(F15="","",IF(F15&gt;=1,"Verde",IF(F15&gt;=0.7,"Ámbar","Rojo")))</f>
        <v/>
      </c>
      <c r="H15" s="27" t="n"/>
      <c r="I15" s="27" t="n"/>
      <c r="J15" s="80">
        <f>IF(A15="","",F15+D15/1000000000+(100-ROW())/1000000000000)</f>
        <v/>
      </c>
      <c r="L15" s="32" t="n">
        <v>11</v>
      </c>
      <c r="M15" s="30">
        <f>IF(L15&gt;COUNT($J$5:$J$19),"",INDEX($B$5:$B$19,MATCH(LARGE($J$5:$J$19,L15),$J$5:$J$19,0)))</f>
        <v/>
      </c>
      <c r="N15" s="45">
        <f>IF(M15="","",INDEX($F$5:$F$19,MATCH(LARGE($J$5:$J$19,L15),$J$5:$J$19,0)))</f>
        <v/>
      </c>
      <c r="O15" s="49">
        <f>IF(M15="","",INDEX($D$5:$D$19,MATCH(LARGE($J$5:$J$19,L15),$J$5:$J$19,0)))</f>
        <v/>
      </c>
      <c r="P15" s="49">
        <f>IF(M15="","",INDEX($E$5:$E$19,MATCH(LARGE($J$5:$J$19,L15),$J$5:$J$19,0)))</f>
        <v/>
      </c>
    </row>
    <row r="16">
      <c r="A16" s="31" t="n"/>
      <c r="B16" s="31" t="n"/>
      <c r="C16" s="27" t="n"/>
      <c r="D16" s="27" t="n"/>
      <c r="E16" s="27" t="n"/>
      <c r="F16" s="45">
        <f>IF(A16="","",IF(E16=0,0,D16/E16))</f>
        <v/>
      </c>
      <c r="G16" s="79">
        <f>IF(F16="","",IF(F16&gt;=1,"Verde",IF(F16&gt;=0.7,"Ámbar","Rojo")))</f>
        <v/>
      </c>
      <c r="H16" s="27" t="n"/>
      <c r="I16" s="27" t="n"/>
      <c r="J16" s="80">
        <f>IF(A16="","",F16+D16/1000000000+(100-ROW())/1000000000000)</f>
        <v/>
      </c>
      <c r="L16" s="32" t="n">
        <v>12</v>
      </c>
      <c r="M16" s="30">
        <f>IF(L16&gt;COUNT($J$5:$J$19),"",INDEX($B$5:$B$19,MATCH(LARGE($J$5:$J$19,L16),$J$5:$J$19,0)))</f>
        <v/>
      </c>
      <c r="N16" s="45">
        <f>IF(M16="","",INDEX($F$5:$F$19,MATCH(LARGE($J$5:$J$19,L16),$J$5:$J$19,0)))</f>
        <v/>
      </c>
      <c r="O16" s="49">
        <f>IF(M16="","",INDEX($D$5:$D$19,MATCH(LARGE($J$5:$J$19,L16),$J$5:$J$19,0)))</f>
        <v/>
      </c>
      <c r="P16" s="49">
        <f>IF(M16="","",INDEX($E$5:$E$19,MATCH(LARGE($J$5:$J$19,L16),$J$5:$J$19,0)))</f>
        <v/>
      </c>
    </row>
    <row r="17">
      <c r="A17" s="31" t="n"/>
      <c r="B17" s="31" t="n"/>
      <c r="C17" s="27" t="n"/>
      <c r="D17" s="27" t="n"/>
      <c r="E17" s="27" t="n"/>
      <c r="F17" s="45">
        <f>IF(A17="","",IF(E17=0,0,D17/E17))</f>
        <v/>
      </c>
      <c r="G17" s="79">
        <f>IF(F17="","",IF(F17&gt;=1,"Verde",IF(F17&gt;=0.7,"Ámbar","Rojo")))</f>
        <v/>
      </c>
      <c r="H17" s="27" t="n"/>
      <c r="I17" s="27" t="n"/>
      <c r="J17" s="80">
        <f>IF(A17="","",F17+D17/1000000000+(100-ROW())/1000000000000)</f>
        <v/>
      </c>
      <c r="L17" s="32" t="n">
        <v>13</v>
      </c>
      <c r="M17" s="30">
        <f>IF(L17&gt;COUNT($J$5:$J$19),"",INDEX($B$5:$B$19,MATCH(LARGE($J$5:$J$19,L17),$J$5:$J$19,0)))</f>
        <v/>
      </c>
      <c r="N17" s="45">
        <f>IF(M17="","",INDEX($F$5:$F$19,MATCH(LARGE($J$5:$J$19,L17),$J$5:$J$19,0)))</f>
        <v/>
      </c>
      <c r="O17" s="49">
        <f>IF(M17="","",INDEX($D$5:$D$19,MATCH(LARGE($J$5:$J$19,L17),$J$5:$J$19,0)))</f>
        <v/>
      </c>
      <c r="P17" s="49">
        <f>IF(M17="","",INDEX($E$5:$E$19,MATCH(LARGE($J$5:$J$19,L17),$J$5:$J$19,0)))</f>
        <v/>
      </c>
    </row>
    <row r="18">
      <c r="A18" s="31" t="n"/>
      <c r="B18" s="31" t="n"/>
      <c r="C18" s="27" t="n"/>
      <c r="D18" s="27" t="n"/>
      <c r="E18" s="27" t="n"/>
      <c r="F18" s="45">
        <f>IF(A18="","",IF(E18=0,0,D18/E18))</f>
        <v/>
      </c>
      <c r="G18" s="79">
        <f>IF(F18="","",IF(F18&gt;=1,"Verde",IF(F18&gt;=0.7,"Ámbar","Rojo")))</f>
        <v/>
      </c>
      <c r="H18" s="27" t="n"/>
      <c r="I18" s="27" t="n"/>
      <c r="J18" s="80">
        <f>IF(A18="","",F18+D18/1000000000+(100-ROW())/1000000000000)</f>
        <v/>
      </c>
      <c r="L18" s="32" t="n">
        <v>14</v>
      </c>
      <c r="M18" s="30">
        <f>IF(L18&gt;COUNT($J$5:$J$19),"",INDEX($B$5:$B$19,MATCH(LARGE($J$5:$J$19,L18),$J$5:$J$19,0)))</f>
        <v/>
      </c>
      <c r="N18" s="45">
        <f>IF(M18="","",INDEX($F$5:$F$19,MATCH(LARGE($J$5:$J$19,L18),$J$5:$J$19,0)))</f>
        <v/>
      </c>
      <c r="O18" s="49">
        <f>IF(M18="","",INDEX($D$5:$D$19,MATCH(LARGE($J$5:$J$19,L18),$J$5:$J$19,0)))</f>
        <v/>
      </c>
      <c r="P18" s="49">
        <f>IF(M18="","",INDEX($E$5:$E$19,MATCH(LARGE($J$5:$J$19,L18),$J$5:$J$19,0)))</f>
        <v/>
      </c>
    </row>
    <row r="19">
      <c r="A19" s="31" t="n"/>
      <c r="B19" s="31" t="n"/>
      <c r="C19" s="27" t="n"/>
      <c r="D19" s="27" t="n"/>
      <c r="E19" s="27" t="n"/>
      <c r="F19" s="45">
        <f>IF(A19="","",IF(E19=0,0,D19/E19))</f>
        <v/>
      </c>
      <c r="G19" s="79">
        <f>IF(F19="","",IF(F19&gt;=1,"Verde",IF(F19&gt;=0.7,"Ámbar","Rojo")))</f>
        <v/>
      </c>
      <c r="H19" s="27" t="n"/>
      <c r="I19" s="27" t="n"/>
      <c r="J19" s="80">
        <f>IF(A19="","",F19+D19/1000000000+(100-ROW())/1000000000000)</f>
        <v/>
      </c>
      <c r="L19" s="32" t="n">
        <v>15</v>
      </c>
      <c r="M19" s="30">
        <f>IF(L19&gt;COUNT($J$5:$J$19),"",INDEX($B$5:$B$19,MATCH(LARGE($J$5:$J$19,L19),$J$5:$J$19,0)))</f>
        <v/>
      </c>
      <c r="N19" s="45">
        <f>IF(M19="","",INDEX($F$5:$F$19,MATCH(LARGE($J$5:$J$19,L19),$J$5:$J$19,0)))</f>
        <v/>
      </c>
      <c r="O19" s="49">
        <f>IF(M19="","",INDEX($D$5:$D$19,MATCH(LARGE($J$5:$J$19,L19),$J$5:$J$19,0)))</f>
        <v/>
      </c>
      <c r="P19" s="49">
        <f>IF(M19="","",INDEX($E$5:$E$19,MATCH(LARGE($J$5:$J$19,L19),$J$5:$J$19,0)))</f>
        <v/>
      </c>
    </row>
    <row r="20">
      <c r="A20" s="33" t="inlineStr">
        <is>
          <t>TOTAL CANAL</t>
        </is>
      </c>
      <c r="B20" s="33">
        <f>COUNTA(A5:A19)&amp;" RSM"</f>
        <v/>
      </c>
      <c r="C20" s="34">
        <f>SUM(C5:C19)</f>
        <v/>
      </c>
      <c r="D20" s="34">
        <f>SUM(D5:D19)</f>
        <v/>
      </c>
      <c r="E20" s="34">
        <f>SUM(E5:E19)</f>
        <v/>
      </c>
      <c r="F20" s="48">
        <f>IF(E20=0,0,D20/E20)</f>
        <v/>
      </c>
      <c r="G20" s="33">
        <f>IF(F20&gt;=1,"Verde",IF(F20&gt;=0.7,"Ámbar","Rojo"))</f>
        <v/>
      </c>
      <c r="H20" s="34">
        <f>SUM(H5:H19)</f>
        <v/>
      </c>
      <c r="I20" s="34">
        <f>SUM(I5:I19)</f>
        <v/>
      </c>
    </row>
    <row r="22">
      <c r="A22" s="26" t="inlineStr">
        <is>
          <t>KPIs canal</t>
        </is>
      </c>
    </row>
    <row r="23">
      <c r="A23" s="30" t="inlineStr">
        <is>
          <t>RSM ≥100% budget</t>
        </is>
      </c>
      <c r="B23" s="32">
        <f>COUNTIF(F5:F19,"&gt;=1")</f>
        <v/>
      </c>
    </row>
    <row r="24">
      <c r="A24" s="30" t="inlineStr">
        <is>
          <t>RSM &lt;70% budget</t>
        </is>
      </c>
      <c r="B24" s="32">
        <f>COUNTIFS(F5:F19,"&lt;0.7",A5:A19,"&lt;&gt;")</f>
        <v/>
      </c>
    </row>
    <row r="25">
      <c r="A25" s="30" t="inlineStr">
        <is>
          <t>Brecha vs budget (m²)</t>
        </is>
      </c>
      <c r="B25" s="49">
        <f>D20-E20</f>
        <v/>
      </c>
    </row>
    <row r="26">
      <c r="A26" s="30" t="inlineStr">
        <is>
          <t>Backlog total (m²)</t>
        </is>
      </c>
      <c r="B26" s="49">
        <f>H20+I20</f>
        <v/>
      </c>
    </row>
    <row r="27">
      <c r="A27" s="30" t="inlineStr">
        <is>
          <t>Book-to-bill (OI/Ventas)</t>
        </is>
      </c>
      <c r="B27" s="29">
        <f>IFERROR(C20/D20,"")</f>
        <v/>
      </c>
    </row>
  </sheetData>
  <conditionalFormatting sqref="F5:F20">
    <cfRule type="cellIs" priority="2" operator="greaterThanOrEqual" dxfId="3">
      <formula>1</formula>
    </cfRule>
    <cfRule type="cellIs" priority="3" operator="between" dxfId="6">
      <formula>0.7</formula>
      <formula>0.9999</formula>
    </cfRule>
    <cfRule type="cellIs" priority="4" operator="lessThan" dxfId="5">
      <formula>0.7</formula>
    </cfRule>
  </conditionalFormatting>
  <conditionalFormatting sqref="N5:N19">
    <cfRule type="cellIs" priority="5" operator="greaterThanOrEqual" dxfId="3">
      <formula>1</formula>
    </cfRule>
    <cfRule type="cellIs" priority="6" operator="between" dxfId="6">
      <formula>0.7</formula>
      <formula>0.9999</formula>
    </cfRule>
    <cfRule type="cellIs" priority="7" operator="lessThan" dxfId="5">
      <formula>0.7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FF061530"/>
    <outlinePr summaryBelow="1" summaryRight="1"/>
    <pageSetUpPr/>
  </sheetPr>
  <dimension ref="A1:P27"/>
  <sheetViews>
    <sheetView showGridLines="0" zoomScaleNormal="100" workbookViewId="0">
      <selection activeCell="B37" sqref="B37"/>
    </sheetView>
  </sheetViews>
  <sheetFormatPr baseColWidth="10" defaultColWidth="8.7109375" defaultRowHeight="15"/>
  <cols>
    <col width="38" customWidth="1" min="1" max="1"/>
    <col width="22" customWidth="1" min="2" max="2"/>
    <col width="13" customWidth="1" min="3" max="4"/>
    <col width="14" customWidth="1" min="5" max="5"/>
    <col width="11" customWidth="1" min="6" max="6"/>
    <col width="10" customWidth="1" min="7" max="7"/>
    <col width="13" customWidth="1" min="8" max="8"/>
    <col width="12" customWidth="1" min="9" max="10"/>
    <col width="2" customWidth="1" min="11" max="11"/>
    <col width="5" customWidth="1" min="12" max="12"/>
    <col width="26" customWidth="1" min="13" max="13"/>
    <col width="10" customWidth="1" min="14" max="14"/>
    <col width="12" customWidth="1" min="15" max="16"/>
  </cols>
  <sheetData>
    <row r="1" ht="18" customHeight="1">
      <c r="A1" s="2" t="inlineStr">
        <is>
          <t>14 · RSM Ventas Alternativas – Cumplimiento y Backlog (YTD)  [detalle interno – no se presenta en el deck]</t>
        </is>
      </c>
    </row>
    <row r="2">
      <c r="A2" s="24" t="inlineStr">
        <is>
          <t>Diligencie la tabla izquierda; el ranking (derecha), totales y semáforos se calculan solos</t>
        </is>
      </c>
    </row>
    <row r="4" ht="30" customHeight="1">
      <c r="A4" s="25" t="inlineStr">
        <is>
          <t>RSM (nombre completo)</t>
        </is>
      </c>
      <c r="B4" s="25" t="inlineStr">
        <is>
          <t>Nombre corto (slide)</t>
        </is>
      </c>
      <c r="C4" s="25" t="inlineStr">
        <is>
          <t>Order Intake m²</t>
        </is>
      </c>
      <c r="D4" s="25" t="inlineStr">
        <is>
          <t>Ventas Total m²</t>
        </is>
      </c>
      <c r="E4" s="25" t="inlineStr">
        <is>
          <t>Budget m² (paneles)</t>
        </is>
      </c>
      <c r="F4" s="25" t="inlineStr">
        <is>
          <t>% Cumpl. Budget</t>
        </is>
      </c>
      <c r="G4" s="25" t="inlineStr">
        <is>
          <t>Semáforo</t>
        </is>
      </c>
      <c r="H4" s="25" t="inlineStr">
        <is>
          <t>Backlog paneles m²</t>
        </is>
      </c>
      <c r="I4" s="25" t="inlineStr">
        <is>
          <t>Backlog otros m²</t>
        </is>
      </c>
      <c r="J4" s="25" t="inlineStr">
        <is>
          <t>Clave orden (aux)</t>
        </is>
      </c>
      <c r="L4" s="77" t="inlineStr">
        <is>
          <t>#</t>
        </is>
      </c>
      <c r="M4" s="77" t="inlineStr">
        <is>
          <t>Ranking – Fuente gráfico (mayor → menor cumplimiento)</t>
        </is>
      </c>
      <c r="N4" s="77" t="inlineStr">
        <is>
          <t>% Cumpl.</t>
        </is>
      </c>
      <c r="O4" s="77" t="inlineStr">
        <is>
          <t>Ventas m²</t>
        </is>
      </c>
      <c r="P4" s="77" t="inlineStr">
        <is>
          <t>Budget m²</t>
        </is>
      </c>
    </row>
    <row r="5">
      <c r="A5" s="31" t="inlineStr">
        <is>
          <t>ALTAMIRANO PUENTES YAZMIN</t>
        </is>
      </c>
      <c r="B5" s="31" t="inlineStr">
        <is>
          <t>Yazmín Altamirano</t>
        </is>
      </c>
      <c r="C5" s="27" t="n">
        <v>850</v>
      </c>
      <c r="D5" s="27" t="n">
        <v>1752</v>
      </c>
      <c r="E5" s="27" t="n">
        <v>1118</v>
      </c>
      <c r="F5" s="45">
        <f>IF(A5="","",IF(E5=0,0,D5/E5))</f>
        <v/>
      </c>
      <c r="G5" s="79">
        <f>IF(F5="","",IF(F5&gt;=1,"Verde",IF(F5&gt;=0.7,"Ámbar","Rojo")))</f>
        <v/>
      </c>
      <c r="H5" s="27" t="n">
        <v>0</v>
      </c>
      <c r="I5" s="27" t="n">
        <v>0</v>
      </c>
      <c r="J5" s="80">
        <f>IF(A5="","",F5+D5/1000000000+(100-ROW())/1000000000000)</f>
        <v/>
      </c>
      <c r="L5" s="32" t="n">
        <v>1</v>
      </c>
      <c r="M5" s="30">
        <f>IF(L5&gt;COUNT($J$5:$J$19),"",INDEX($B$5:$B$19,MATCH(LARGE($J$5:$J$19,L5),$J$5:$J$19,0)))</f>
        <v/>
      </c>
      <c r="N5" s="45">
        <f>IF(M5="","",INDEX($F$5:$F$19,MATCH(LARGE($J$5:$J$19,L5),$J$5:$J$19,0)))</f>
        <v/>
      </c>
      <c r="O5" s="49">
        <f>IF(M5="","",INDEX($D$5:$D$19,MATCH(LARGE($J$5:$J$19,L5),$J$5:$J$19,0)))</f>
        <v/>
      </c>
      <c r="P5" s="49">
        <f>IF(M5="","",INDEX($E$5:$E$19,MATCH(LARGE($J$5:$J$19,L5),$J$5:$J$19,0)))</f>
        <v/>
      </c>
    </row>
    <row r="6">
      <c r="A6" s="31" t="inlineStr">
        <is>
          <t>QUINTANA BARRIOS JAIRO ALONSO</t>
        </is>
      </c>
      <c r="B6" s="31" t="inlineStr">
        <is>
          <t>Jairo A. Quintana</t>
        </is>
      </c>
      <c r="C6" s="27" t="n">
        <v>57561</v>
      </c>
      <c r="D6" s="27" t="n">
        <v>67678</v>
      </c>
      <c r="E6" s="27" t="n">
        <v>44250</v>
      </c>
      <c r="F6" s="45">
        <f>IF(A6="","",IF(E6=0,0,D6/E6))</f>
        <v/>
      </c>
      <c r="G6" s="79">
        <f>IF(F6="","",IF(F6&gt;=1,"Verde",IF(F6&gt;=0.7,"Ámbar","Rojo")))</f>
        <v/>
      </c>
      <c r="H6" s="27" t="n">
        <v>6066</v>
      </c>
      <c r="I6" s="27" t="n">
        <v>0</v>
      </c>
      <c r="J6" s="80">
        <f>IF(A6="","",F6+D6/1000000000+(100-ROW())/1000000000000)</f>
        <v/>
      </c>
      <c r="L6" s="32" t="n">
        <v>2</v>
      </c>
      <c r="M6" s="30">
        <f>IF(L6&gt;COUNT($J$5:$J$19),"",INDEX($B$5:$B$19,MATCH(LARGE($J$5:$J$19,L6),$J$5:$J$19,0)))</f>
        <v/>
      </c>
      <c r="N6" s="45">
        <f>IF(M6="","",INDEX($F$5:$F$19,MATCH(LARGE($J$5:$J$19,L6),$J$5:$J$19,0)))</f>
        <v/>
      </c>
      <c r="O6" s="49">
        <f>IF(M6="","",INDEX($D$5:$D$19,MATCH(LARGE($J$5:$J$19,L6),$J$5:$J$19,0)))</f>
        <v/>
      </c>
      <c r="P6" s="49">
        <f>IF(M6="","",INDEX($E$5:$E$19,MATCH(LARGE($J$5:$J$19,L6),$J$5:$J$19,0)))</f>
        <v/>
      </c>
    </row>
    <row r="7">
      <c r="A7" s="31" t="n"/>
      <c r="B7" s="31" t="n"/>
      <c r="C7" s="27" t="n"/>
      <c r="D7" s="27" t="n"/>
      <c r="E7" s="27" t="n"/>
      <c r="F7" s="45">
        <f>IF(A7="","",IF(E7=0,0,D7/E7))</f>
        <v/>
      </c>
      <c r="G7" s="79">
        <f>IF(F7="","",IF(F7&gt;=1,"Verde",IF(F7&gt;=0.7,"Ámbar","Rojo")))</f>
        <v/>
      </c>
      <c r="H7" s="27" t="n"/>
      <c r="I7" s="27" t="n"/>
      <c r="J7" s="80">
        <f>IF(A7="","",F7+D7/1000000000+(100-ROW())/1000000000000)</f>
        <v/>
      </c>
      <c r="L7" s="32" t="n">
        <v>3</v>
      </c>
      <c r="M7" s="30">
        <f>IF(L7&gt;COUNT($J$5:$J$19),"",INDEX($B$5:$B$19,MATCH(LARGE($J$5:$J$19,L7),$J$5:$J$19,0)))</f>
        <v/>
      </c>
      <c r="N7" s="45">
        <f>IF(M7="","",INDEX($F$5:$F$19,MATCH(LARGE($J$5:$J$19,L7),$J$5:$J$19,0)))</f>
        <v/>
      </c>
      <c r="O7" s="49">
        <f>IF(M7="","",INDEX($D$5:$D$19,MATCH(LARGE($J$5:$J$19,L7),$J$5:$J$19,0)))</f>
        <v/>
      </c>
      <c r="P7" s="49">
        <f>IF(M7="","",INDEX($E$5:$E$19,MATCH(LARGE($J$5:$J$19,L7),$J$5:$J$19,0)))</f>
        <v/>
      </c>
    </row>
    <row r="8">
      <c r="A8" s="31" t="n"/>
      <c r="B8" s="31" t="n"/>
      <c r="C8" s="27" t="n"/>
      <c r="D8" s="27" t="n"/>
      <c r="E8" s="27" t="n"/>
      <c r="F8" s="45">
        <f>IF(A8="","",IF(E8=0,0,D8/E8))</f>
        <v/>
      </c>
      <c r="G8" s="79">
        <f>IF(F8="","",IF(F8&gt;=1,"Verde",IF(F8&gt;=0.7,"Ámbar","Rojo")))</f>
        <v/>
      </c>
      <c r="H8" s="27" t="n"/>
      <c r="I8" s="27" t="n"/>
      <c r="J8" s="80">
        <f>IF(A8="","",F8+D8/1000000000+(100-ROW())/1000000000000)</f>
        <v/>
      </c>
      <c r="L8" s="32" t="n">
        <v>4</v>
      </c>
      <c r="M8" s="30">
        <f>IF(L8&gt;COUNT($J$5:$J$19),"",INDEX($B$5:$B$19,MATCH(LARGE($J$5:$J$19,L8),$J$5:$J$19,0)))</f>
        <v/>
      </c>
      <c r="N8" s="45">
        <f>IF(M8="","",INDEX($F$5:$F$19,MATCH(LARGE($J$5:$J$19,L8),$J$5:$J$19,0)))</f>
        <v/>
      </c>
      <c r="O8" s="49">
        <f>IF(M8="","",INDEX($D$5:$D$19,MATCH(LARGE($J$5:$J$19,L8),$J$5:$J$19,0)))</f>
        <v/>
      </c>
      <c r="P8" s="49">
        <f>IF(M8="","",INDEX($E$5:$E$19,MATCH(LARGE($J$5:$J$19,L8),$J$5:$J$19,0)))</f>
        <v/>
      </c>
    </row>
    <row r="9">
      <c r="A9" s="31" t="n"/>
      <c r="B9" s="31" t="n"/>
      <c r="C9" s="27" t="n"/>
      <c r="D9" s="27" t="n"/>
      <c r="E9" s="27" t="n"/>
      <c r="F9" s="45">
        <f>IF(A9="","",IF(E9=0,0,D9/E9))</f>
        <v/>
      </c>
      <c r="G9" s="79">
        <f>IF(F9="","",IF(F9&gt;=1,"Verde",IF(F9&gt;=0.7,"Ámbar","Rojo")))</f>
        <v/>
      </c>
      <c r="H9" s="27" t="n"/>
      <c r="I9" s="27" t="n"/>
      <c r="J9" s="80">
        <f>IF(A9="","",F9+D9/1000000000+(100-ROW())/1000000000000)</f>
        <v/>
      </c>
      <c r="L9" s="32" t="n">
        <v>5</v>
      </c>
      <c r="M9" s="30">
        <f>IF(L9&gt;COUNT($J$5:$J$19),"",INDEX($B$5:$B$19,MATCH(LARGE($J$5:$J$19,L9),$J$5:$J$19,0)))</f>
        <v/>
      </c>
      <c r="N9" s="45">
        <f>IF(M9="","",INDEX($F$5:$F$19,MATCH(LARGE($J$5:$J$19,L9),$J$5:$J$19,0)))</f>
        <v/>
      </c>
      <c r="O9" s="49">
        <f>IF(M9="","",INDEX($D$5:$D$19,MATCH(LARGE($J$5:$J$19,L9),$J$5:$J$19,0)))</f>
        <v/>
      </c>
      <c r="P9" s="49">
        <f>IF(M9="","",INDEX($E$5:$E$19,MATCH(LARGE($J$5:$J$19,L9),$J$5:$J$19,0)))</f>
        <v/>
      </c>
    </row>
    <row r="10">
      <c r="A10" s="31" t="n"/>
      <c r="B10" s="31" t="n"/>
      <c r="C10" s="27" t="n"/>
      <c r="D10" s="27" t="n"/>
      <c r="E10" s="27" t="n"/>
      <c r="F10" s="45">
        <f>IF(A10="","",IF(E10=0,0,D10/E10))</f>
        <v/>
      </c>
      <c r="G10" s="79">
        <f>IF(F10="","",IF(F10&gt;=1,"Verde",IF(F10&gt;=0.7,"Ámbar","Rojo")))</f>
        <v/>
      </c>
      <c r="H10" s="27" t="n"/>
      <c r="I10" s="27" t="n"/>
      <c r="J10" s="80">
        <f>IF(A10="","",F10+D10/1000000000+(100-ROW())/1000000000000)</f>
        <v/>
      </c>
      <c r="L10" s="32" t="n">
        <v>6</v>
      </c>
      <c r="M10" s="30">
        <f>IF(L10&gt;COUNT($J$5:$J$19),"",INDEX($B$5:$B$19,MATCH(LARGE($J$5:$J$19,L10),$J$5:$J$19,0)))</f>
        <v/>
      </c>
      <c r="N10" s="45">
        <f>IF(M10="","",INDEX($F$5:$F$19,MATCH(LARGE($J$5:$J$19,L10),$J$5:$J$19,0)))</f>
        <v/>
      </c>
      <c r="O10" s="49">
        <f>IF(M10="","",INDEX($D$5:$D$19,MATCH(LARGE($J$5:$J$19,L10),$J$5:$J$19,0)))</f>
        <v/>
      </c>
      <c r="P10" s="49">
        <f>IF(M10="","",INDEX($E$5:$E$19,MATCH(LARGE($J$5:$J$19,L10),$J$5:$J$19,0)))</f>
        <v/>
      </c>
    </row>
    <row r="11">
      <c r="A11" s="31" t="n"/>
      <c r="B11" s="31" t="n"/>
      <c r="C11" s="27" t="n"/>
      <c r="D11" s="27" t="n"/>
      <c r="E11" s="27" t="n"/>
      <c r="F11" s="45">
        <f>IF(A11="","",IF(E11=0,0,D11/E11))</f>
        <v/>
      </c>
      <c r="G11" s="79">
        <f>IF(F11="","",IF(F11&gt;=1,"Verde",IF(F11&gt;=0.7,"Ámbar","Rojo")))</f>
        <v/>
      </c>
      <c r="H11" s="27" t="n"/>
      <c r="I11" s="27" t="n"/>
      <c r="J11" s="80">
        <f>IF(A11="","",F11+D11/1000000000+(100-ROW())/1000000000000)</f>
        <v/>
      </c>
      <c r="L11" s="32" t="n">
        <v>7</v>
      </c>
      <c r="M11" s="30">
        <f>IF(L11&gt;COUNT($J$5:$J$19),"",INDEX($B$5:$B$19,MATCH(LARGE($J$5:$J$19,L11),$J$5:$J$19,0)))</f>
        <v/>
      </c>
      <c r="N11" s="45">
        <f>IF(M11="","",INDEX($F$5:$F$19,MATCH(LARGE($J$5:$J$19,L11),$J$5:$J$19,0)))</f>
        <v/>
      </c>
      <c r="O11" s="49">
        <f>IF(M11="","",INDEX($D$5:$D$19,MATCH(LARGE($J$5:$J$19,L11),$J$5:$J$19,0)))</f>
        <v/>
      </c>
      <c r="P11" s="49">
        <f>IF(M11="","",INDEX($E$5:$E$19,MATCH(LARGE($J$5:$J$19,L11),$J$5:$J$19,0)))</f>
        <v/>
      </c>
    </row>
    <row r="12">
      <c r="A12" s="31" t="n"/>
      <c r="B12" s="31" t="n"/>
      <c r="C12" s="27" t="n"/>
      <c r="D12" s="27" t="n"/>
      <c r="E12" s="27" t="n"/>
      <c r="F12" s="45">
        <f>IF(A12="","",IF(E12=0,0,D12/E12))</f>
        <v/>
      </c>
      <c r="G12" s="79">
        <f>IF(F12="","",IF(F12&gt;=1,"Verde",IF(F12&gt;=0.7,"Ámbar","Rojo")))</f>
        <v/>
      </c>
      <c r="H12" s="27" t="n"/>
      <c r="I12" s="27" t="n"/>
      <c r="J12" s="80">
        <f>IF(A12="","",F12+D12/1000000000+(100-ROW())/1000000000000)</f>
        <v/>
      </c>
      <c r="L12" s="32" t="n">
        <v>8</v>
      </c>
      <c r="M12" s="30">
        <f>IF(L12&gt;COUNT($J$5:$J$19),"",INDEX($B$5:$B$19,MATCH(LARGE($J$5:$J$19,L12),$J$5:$J$19,0)))</f>
        <v/>
      </c>
      <c r="N12" s="45">
        <f>IF(M12="","",INDEX($F$5:$F$19,MATCH(LARGE($J$5:$J$19,L12),$J$5:$J$19,0)))</f>
        <v/>
      </c>
      <c r="O12" s="49">
        <f>IF(M12="","",INDEX($D$5:$D$19,MATCH(LARGE($J$5:$J$19,L12),$J$5:$J$19,0)))</f>
        <v/>
      </c>
      <c r="P12" s="49">
        <f>IF(M12="","",INDEX($E$5:$E$19,MATCH(LARGE($J$5:$J$19,L12),$J$5:$J$19,0)))</f>
        <v/>
      </c>
    </row>
    <row r="13">
      <c r="A13" s="31" t="n"/>
      <c r="B13" s="31" t="n"/>
      <c r="C13" s="27" t="n"/>
      <c r="D13" s="27" t="n"/>
      <c r="E13" s="27" t="n"/>
      <c r="F13" s="45">
        <f>IF(A13="","",IF(E13=0,0,D13/E13))</f>
        <v/>
      </c>
      <c r="G13" s="79">
        <f>IF(F13="","",IF(F13&gt;=1,"Verde",IF(F13&gt;=0.7,"Ámbar","Rojo")))</f>
        <v/>
      </c>
      <c r="H13" s="27" t="n"/>
      <c r="I13" s="27" t="n"/>
      <c r="J13" s="80">
        <f>IF(A13="","",F13+D13/1000000000+(100-ROW())/1000000000000)</f>
        <v/>
      </c>
      <c r="L13" s="32" t="n">
        <v>9</v>
      </c>
      <c r="M13" s="30">
        <f>IF(L13&gt;COUNT($J$5:$J$19),"",INDEX($B$5:$B$19,MATCH(LARGE($J$5:$J$19,L13),$J$5:$J$19,0)))</f>
        <v/>
      </c>
      <c r="N13" s="45">
        <f>IF(M13="","",INDEX($F$5:$F$19,MATCH(LARGE($J$5:$J$19,L13),$J$5:$J$19,0)))</f>
        <v/>
      </c>
      <c r="O13" s="49">
        <f>IF(M13="","",INDEX($D$5:$D$19,MATCH(LARGE($J$5:$J$19,L13),$J$5:$J$19,0)))</f>
        <v/>
      </c>
      <c r="P13" s="49">
        <f>IF(M13="","",INDEX($E$5:$E$19,MATCH(LARGE($J$5:$J$19,L13),$J$5:$J$19,0)))</f>
        <v/>
      </c>
    </row>
    <row r="14">
      <c r="A14" s="31" t="n"/>
      <c r="B14" s="31" t="n"/>
      <c r="C14" s="27" t="n"/>
      <c r="D14" s="27" t="n"/>
      <c r="E14" s="27" t="n"/>
      <c r="F14" s="45">
        <f>IF(A14="","",IF(E14=0,0,D14/E14))</f>
        <v/>
      </c>
      <c r="G14" s="79">
        <f>IF(F14="","",IF(F14&gt;=1,"Verde",IF(F14&gt;=0.7,"Ámbar","Rojo")))</f>
        <v/>
      </c>
      <c r="H14" s="27" t="n"/>
      <c r="I14" s="27" t="n"/>
      <c r="J14" s="80">
        <f>IF(A14="","",F14+D14/1000000000+(100-ROW())/1000000000000)</f>
        <v/>
      </c>
      <c r="L14" s="32" t="n">
        <v>10</v>
      </c>
      <c r="M14" s="30">
        <f>IF(L14&gt;COUNT($J$5:$J$19),"",INDEX($B$5:$B$19,MATCH(LARGE($J$5:$J$19,L14),$J$5:$J$19,0)))</f>
        <v/>
      </c>
      <c r="N14" s="45">
        <f>IF(M14="","",INDEX($F$5:$F$19,MATCH(LARGE($J$5:$J$19,L14),$J$5:$J$19,0)))</f>
        <v/>
      </c>
      <c r="O14" s="49">
        <f>IF(M14="","",INDEX($D$5:$D$19,MATCH(LARGE($J$5:$J$19,L14),$J$5:$J$19,0)))</f>
        <v/>
      </c>
      <c r="P14" s="49">
        <f>IF(M14="","",INDEX($E$5:$E$19,MATCH(LARGE($J$5:$J$19,L14),$J$5:$J$19,0)))</f>
        <v/>
      </c>
    </row>
    <row r="15">
      <c r="A15" s="31" t="n"/>
      <c r="B15" s="31" t="n"/>
      <c r="C15" s="27" t="n"/>
      <c r="D15" s="27" t="n"/>
      <c r="E15" s="27" t="n"/>
      <c r="F15" s="45">
        <f>IF(A15="","",IF(E15=0,0,D15/E15))</f>
        <v/>
      </c>
      <c r="G15" s="79">
        <f>IF(F15="","",IF(F15&gt;=1,"Verde",IF(F15&gt;=0.7,"Ámbar","Rojo")))</f>
        <v/>
      </c>
      <c r="H15" s="27" t="n"/>
      <c r="I15" s="27" t="n"/>
      <c r="J15" s="80">
        <f>IF(A15="","",F15+D15/1000000000+(100-ROW())/1000000000000)</f>
        <v/>
      </c>
      <c r="L15" s="32" t="n">
        <v>11</v>
      </c>
      <c r="M15" s="30">
        <f>IF(L15&gt;COUNT($J$5:$J$19),"",INDEX($B$5:$B$19,MATCH(LARGE($J$5:$J$19,L15),$J$5:$J$19,0)))</f>
        <v/>
      </c>
      <c r="N15" s="45">
        <f>IF(M15="","",INDEX($F$5:$F$19,MATCH(LARGE($J$5:$J$19,L15),$J$5:$J$19,0)))</f>
        <v/>
      </c>
      <c r="O15" s="49">
        <f>IF(M15="","",INDEX($D$5:$D$19,MATCH(LARGE($J$5:$J$19,L15),$J$5:$J$19,0)))</f>
        <v/>
      </c>
      <c r="P15" s="49">
        <f>IF(M15="","",INDEX($E$5:$E$19,MATCH(LARGE($J$5:$J$19,L15),$J$5:$J$19,0)))</f>
        <v/>
      </c>
    </row>
    <row r="16">
      <c r="A16" s="31" t="n"/>
      <c r="B16" s="31" t="n"/>
      <c r="C16" s="27" t="n"/>
      <c r="D16" s="27" t="n"/>
      <c r="E16" s="27" t="n"/>
      <c r="F16" s="45">
        <f>IF(A16="","",IF(E16=0,0,D16/E16))</f>
        <v/>
      </c>
      <c r="G16" s="79">
        <f>IF(F16="","",IF(F16&gt;=1,"Verde",IF(F16&gt;=0.7,"Ámbar","Rojo")))</f>
        <v/>
      </c>
      <c r="H16" s="27" t="n"/>
      <c r="I16" s="27" t="n"/>
      <c r="J16" s="80">
        <f>IF(A16="","",F16+D16/1000000000+(100-ROW())/1000000000000)</f>
        <v/>
      </c>
      <c r="L16" s="32" t="n">
        <v>12</v>
      </c>
      <c r="M16" s="30">
        <f>IF(L16&gt;COUNT($J$5:$J$19),"",INDEX($B$5:$B$19,MATCH(LARGE($J$5:$J$19,L16),$J$5:$J$19,0)))</f>
        <v/>
      </c>
      <c r="N16" s="45">
        <f>IF(M16="","",INDEX($F$5:$F$19,MATCH(LARGE($J$5:$J$19,L16),$J$5:$J$19,0)))</f>
        <v/>
      </c>
      <c r="O16" s="49">
        <f>IF(M16="","",INDEX($D$5:$D$19,MATCH(LARGE($J$5:$J$19,L16),$J$5:$J$19,0)))</f>
        <v/>
      </c>
      <c r="P16" s="49">
        <f>IF(M16="","",INDEX($E$5:$E$19,MATCH(LARGE($J$5:$J$19,L16),$J$5:$J$19,0)))</f>
        <v/>
      </c>
    </row>
    <row r="17">
      <c r="A17" s="31" t="n"/>
      <c r="B17" s="31" t="n"/>
      <c r="C17" s="27" t="n"/>
      <c r="D17" s="27" t="n"/>
      <c r="E17" s="27" t="n"/>
      <c r="F17" s="45">
        <f>IF(A17="","",IF(E17=0,0,D17/E17))</f>
        <v/>
      </c>
      <c r="G17" s="79">
        <f>IF(F17="","",IF(F17&gt;=1,"Verde",IF(F17&gt;=0.7,"Ámbar","Rojo")))</f>
        <v/>
      </c>
      <c r="H17" s="27" t="n"/>
      <c r="I17" s="27" t="n"/>
      <c r="J17" s="80">
        <f>IF(A17="","",F17+D17/1000000000+(100-ROW())/1000000000000)</f>
        <v/>
      </c>
      <c r="L17" s="32" t="n">
        <v>13</v>
      </c>
      <c r="M17" s="30">
        <f>IF(L17&gt;COUNT($J$5:$J$19),"",INDEX($B$5:$B$19,MATCH(LARGE($J$5:$J$19,L17),$J$5:$J$19,0)))</f>
        <v/>
      </c>
      <c r="N17" s="45">
        <f>IF(M17="","",INDEX($F$5:$F$19,MATCH(LARGE($J$5:$J$19,L17),$J$5:$J$19,0)))</f>
        <v/>
      </c>
      <c r="O17" s="49">
        <f>IF(M17="","",INDEX($D$5:$D$19,MATCH(LARGE($J$5:$J$19,L17),$J$5:$J$19,0)))</f>
        <v/>
      </c>
      <c r="P17" s="49">
        <f>IF(M17="","",INDEX($E$5:$E$19,MATCH(LARGE($J$5:$J$19,L17),$J$5:$J$19,0)))</f>
        <v/>
      </c>
    </row>
    <row r="18">
      <c r="A18" s="31" t="n"/>
      <c r="B18" s="31" t="n"/>
      <c r="C18" s="27" t="n"/>
      <c r="D18" s="27" t="n"/>
      <c r="E18" s="27" t="n"/>
      <c r="F18" s="45">
        <f>IF(A18="","",IF(E18=0,0,D18/E18))</f>
        <v/>
      </c>
      <c r="G18" s="79">
        <f>IF(F18="","",IF(F18&gt;=1,"Verde",IF(F18&gt;=0.7,"Ámbar","Rojo")))</f>
        <v/>
      </c>
      <c r="H18" s="27" t="n"/>
      <c r="I18" s="27" t="n"/>
      <c r="J18" s="80">
        <f>IF(A18="","",F18+D18/1000000000+(100-ROW())/1000000000000)</f>
        <v/>
      </c>
      <c r="L18" s="32" t="n">
        <v>14</v>
      </c>
      <c r="M18" s="30">
        <f>IF(L18&gt;COUNT($J$5:$J$19),"",INDEX($B$5:$B$19,MATCH(LARGE($J$5:$J$19,L18),$J$5:$J$19,0)))</f>
        <v/>
      </c>
      <c r="N18" s="45">
        <f>IF(M18="","",INDEX($F$5:$F$19,MATCH(LARGE($J$5:$J$19,L18),$J$5:$J$19,0)))</f>
        <v/>
      </c>
      <c r="O18" s="49">
        <f>IF(M18="","",INDEX($D$5:$D$19,MATCH(LARGE($J$5:$J$19,L18),$J$5:$J$19,0)))</f>
        <v/>
      </c>
      <c r="P18" s="49">
        <f>IF(M18="","",INDEX($E$5:$E$19,MATCH(LARGE($J$5:$J$19,L18),$J$5:$J$19,0)))</f>
        <v/>
      </c>
    </row>
    <row r="19">
      <c r="A19" s="31" t="n"/>
      <c r="B19" s="31" t="n"/>
      <c r="C19" s="27" t="n"/>
      <c r="D19" s="27" t="n"/>
      <c r="E19" s="27" t="n"/>
      <c r="F19" s="45">
        <f>IF(A19="","",IF(E19=0,0,D19/E19))</f>
        <v/>
      </c>
      <c r="G19" s="79">
        <f>IF(F19="","",IF(F19&gt;=1,"Verde",IF(F19&gt;=0.7,"Ámbar","Rojo")))</f>
        <v/>
      </c>
      <c r="H19" s="27" t="n"/>
      <c r="I19" s="27" t="n"/>
      <c r="J19" s="80">
        <f>IF(A19="","",F19+D19/1000000000+(100-ROW())/1000000000000)</f>
        <v/>
      </c>
      <c r="L19" s="32" t="n">
        <v>15</v>
      </c>
      <c r="M19" s="30">
        <f>IF(L19&gt;COUNT($J$5:$J$19),"",INDEX($B$5:$B$19,MATCH(LARGE($J$5:$J$19,L19),$J$5:$J$19,0)))</f>
        <v/>
      </c>
      <c r="N19" s="45">
        <f>IF(M19="","",INDEX($F$5:$F$19,MATCH(LARGE($J$5:$J$19,L19),$J$5:$J$19,0)))</f>
        <v/>
      </c>
      <c r="O19" s="49">
        <f>IF(M19="","",INDEX($D$5:$D$19,MATCH(LARGE($J$5:$J$19,L19),$J$5:$J$19,0)))</f>
        <v/>
      </c>
      <c r="P19" s="49">
        <f>IF(M19="","",INDEX($E$5:$E$19,MATCH(LARGE($J$5:$J$19,L19),$J$5:$J$19,0)))</f>
        <v/>
      </c>
    </row>
    <row r="20">
      <c r="A20" s="33" t="inlineStr">
        <is>
          <t>TOTAL CANAL</t>
        </is>
      </c>
      <c r="B20" s="33">
        <f>COUNTA(A5:A19)&amp;" RSM"</f>
        <v/>
      </c>
      <c r="C20" s="34">
        <f>SUM(C5:C19)</f>
        <v/>
      </c>
      <c r="D20" s="34">
        <f>SUM(D5:D19)</f>
        <v/>
      </c>
      <c r="E20" s="34">
        <f>SUM(E5:E19)</f>
        <v/>
      </c>
      <c r="F20" s="48">
        <f>IF(E20=0,0,D20/E20)</f>
        <v/>
      </c>
      <c r="G20" s="33">
        <f>IF(F20&gt;=1,"Verde",IF(F20&gt;=0.7,"Ámbar","Rojo"))</f>
        <v/>
      </c>
      <c r="H20" s="34">
        <f>SUM(H5:H19)</f>
        <v/>
      </c>
      <c r="I20" s="34">
        <f>SUM(I5:I19)</f>
        <v/>
      </c>
    </row>
    <row r="22">
      <c r="A22" s="26" t="inlineStr">
        <is>
          <t>KPIs canal</t>
        </is>
      </c>
    </row>
    <row r="23">
      <c r="A23" s="30" t="inlineStr">
        <is>
          <t>RSM ≥100% budget</t>
        </is>
      </c>
      <c r="B23" s="32">
        <f>COUNTIF(F5:F19,"&gt;=1")</f>
        <v/>
      </c>
    </row>
    <row r="24">
      <c r="A24" s="30" t="inlineStr">
        <is>
          <t>RSM &lt;70% budget</t>
        </is>
      </c>
      <c r="B24" s="32">
        <f>COUNTIFS(F5:F19,"&lt;0.7",A5:A19,"&lt;&gt;")</f>
        <v/>
      </c>
    </row>
    <row r="25">
      <c r="A25" s="30" t="inlineStr">
        <is>
          <t>Brecha vs budget (m²)</t>
        </is>
      </c>
      <c r="B25" s="49">
        <f>D20-E20</f>
        <v/>
      </c>
    </row>
    <row r="26">
      <c r="A26" s="30" t="inlineStr">
        <is>
          <t>Backlog total (m²)</t>
        </is>
      </c>
      <c r="B26" s="49">
        <f>H20+I20</f>
        <v/>
      </c>
    </row>
    <row r="27">
      <c r="A27" s="30" t="inlineStr">
        <is>
          <t>Book-to-bill (OI/Ventas)</t>
        </is>
      </c>
      <c r="B27" s="29">
        <f>IFERROR(C20/D20,"")</f>
        <v/>
      </c>
    </row>
  </sheetData>
  <conditionalFormatting sqref="F5:F20">
    <cfRule type="cellIs" priority="2" operator="greaterThanOrEqual" dxfId="3">
      <formula>1</formula>
    </cfRule>
    <cfRule type="cellIs" priority="3" operator="between" dxfId="6">
      <formula>0.7</formula>
      <formula>0.9999</formula>
    </cfRule>
    <cfRule type="cellIs" priority="4" operator="lessThan" dxfId="5">
      <formula>0.7</formula>
    </cfRule>
  </conditionalFormatting>
  <conditionalFormatting sqref="N5:N19">
    <cfRule type="cellIs" priority="5" operator="greaterThanOrEqual" dxfId="3">
      <formula>1</formula>
    </cfRule>
    <cfRule type="cellIs" priority="6" operator="between" dxfId="6">
      <formula>0.7</formula>
      <formula>0.9999</formula>
    </cfRule>
    <cfRule type="cellIs" priority="7" operator="lessThan" dxfId="5">
      <formula>0.7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tabColor rgb="FF061530"/>
    <outlinePr summaryBelow="1" summaryRight="1"/>
    <pageSetUpPr/>
  </sheetPr>
  <dimension ref="A1:C20"/>
  <sheetViews>
    <sheetView showGridLines="0" zoomScaleNormal="100" workbookViewId="0">
      <selection activeCell="B13" sqref="B13"/>
    </sheetView>
  </sheetViews>
  <sheetFormatPr baseColWidth="10" defaultColWidth="8.7109375" defaultRowHeight="15"/>
  <cols>
    <col width="40" customWidth="1" min="1" max="1"/>
    <col width="70" customWidth="1" min="2" max="2"/>
    <col width="60" customWidth="1" min="3" max="3"/>
  </cols>
  <sheetData>
    <row r="1" ht="18" customHeight="1">
      <c r="A1" s="2" t="inlineStr">
        <is>
          <t>15 · Highlights septiembre – Comercial</t>
        </is>
      </c>
    </row>
    <row r="2">
      <c r="A2" s="24" t="inlineStr">
        <is>
          <t>KPIs de gestión comercial e hitos del mes</t>
        </is>
      </c>
    </row>
    <row r="4" ht="30" customHeight="1">
      <c r="A4" s="25" t="inlineStr">
        <is>
          <t>KPI</t>
        </is>
      </c>
      <c r="B4" s="25" t="inlineStr">
        <is>
          <t>Valor</t>
        </is>
      </c>
      <c r="C4" s="25" t="inlineStr">
        <is>
          <t>Unidad / detalle</t>
        </is>
      </c>
    </row>
    <row r="5">
      <c r="A5" s="26" t="inlineStr">
        <is>
          <t>Visitas a clientes</t>
        </is>
      </c>
      <c r="B5" s="27" t="n">
        <v>218</v>
      </c>
      <c r="C5" s="30" t="inlineStr">
        <is>
          <t>visitas</t>
        </is>
      </c>
    </row>
    <row r="6">
      <c r="A6" s="26" t="inlineStr">
        <is>
          <t>Clientes nuevos</t>
        </is>
      </c>
      <c r="B6" s="27" t="n">
        <v>26</v>
      </c>
      <c r="C6" s="30" t="inlineStr">
        <is>
          <t>clientes</t>
        </is>
      </c>
    </row>
    <row r="7">
      <c r="A7" s="26" t="inlineStr">
        <is>
          <t>m² clientes nuevos</t>
        </is>
      </c>
      <c r="B7" s="27" t="n">
        <v>7400</v>
      </c>
      <c r="C7" s="30" t="inlineStr">
        <is>
          <t>m²</t>
        </is>
      </c>
    </row>
    <row r="8">
      <c r="A8" s="26" t="inlineStr">
        <is>
          <t>USD clientes nuevos</t>
        </is>
      </c>
      <c r="B8" s="27" t="n">
        <v>197235</v>
      </c>
      <c r="C8" s="30" t="inlineStr">
        <is>
          <t>USD</t>
        </is>
      </c>
    </row>
    <row r="9">
      <c r="A9" s="26" t="inlineStr">
        <is>
          <t>Personas capacitadas</t>
        </is>
      </c>
      <c r="B9" s="27" t="n">
        <v>122</v>
      </c>
      <c r="C9" s="30" t="inlineStr">
        <is>
          <t>personas (clientes + portafolio cold storage)</t>
        </is>
      </c>
    </row>
    <row r="10">
      <c r="A10" s="26" t="inlineStr">
        <is>
          <t>Ferias / eventos</t>
        </is>
      </c>
      <c r="B10" s="27" t="n">
        <v>2</v>
      </c>
      <c r="C10" s="30" t="inlineStr">
        <is>
          <t>eventos</t>
        </is>
      </c>
    </row>
    <row r="11">
      <c r="A11" s="26" t="inlineStr">
        <is>
          <t>m² especificados en paneles</t>
        </is>
      </c>
      <c r="B11" s="27" t="n">
        <v>163801</v>
      </c>
      <c r="C11" s="30" t="inlineStr">
        <is>
          <t>m²</t>
        </is>
      </c>
    </row>
    <row r="12">
      <c r="A12" s="26" t="inlineStr">
        <is>
          <t>m² especificados línea arquitectónica</t>
        </is>
      </c>
      <c r="B12" s="27" t="n">
        <v>49626</v>
      </c>
      <c r="C12" s="30" t="inlineStr">
        <is>
          <t>m²</t>
        </is>
      </c>
    </row>
    <row r="13">
      <c r="A13" s="26" t="inlineStr">
        <is>
          <t>USD promedio por cliente nuevo</t>
        </is>
      </c>
      <c r="B13" s="58">
        <f>IFERROR(B8/B6,0)</f>
        <v/>
      </c>
    </row>
    <row r="14">
      <c r="A14" s="26" t="inlineStr">
        <is>
          <t>m² especificados – total</t>
        </is>
      </c>
      <c r="B14" s="49">
        <f>B11+B12</f>
        <v/>
      </c>
    </row>
    <row r="16" ht="30" customHeight="1">
      <c r="A16" s="25" t="inlineStr">
        <is>
          <t>Hito</t>
        </is>
      </c>
      <c r="B16" s="25" t="inlineStr">
        <is>
          <t>Qué se hizo</t>
        </is>
      </c>
      <c r="C16" s="25" t="inlineStr">
        <is>
          <t>Impacto / siguiente paso</t>
        </is>
      </c>
    </row>
    <row r="17">
      <c r="A17" s="31" t="inlineStr">
        <is>
          <t>Evento Binacional – Cúcuta</t>
        </is>
      </c>
      <c r="B17" s="31" t="inlineStr">
        <is>
          <t>Participación en rueda de negocios conectando empresas colombianas con compradores venezolanos</t>
        </is>
      </c>
      <c r="C17" s="31" t="inlineStr">
        <is>
          <t>Pipeline de nuevas oportunidades en Venezuela; seguimiento a contactos</t>
        </is>
      </c>
    </row>
    <row r="18">
      <c r="A18" s="31" t="inlineStr">
        <is>
          <t>Formación de clientes</t>
        </is>
      </c>
      <c r="B18" s="31" t="inlineStr">
        <is>
          <t>Capacitaciones a clientes y portafolio general / cold storage (122 personas); portafolio cold storage para Grupo Nutresa</t>
        </is>
      </c>
      <c r="C18" s="31" t="inlineStr">
        <is>
          <t>Especificación temprana y fidelización de cuentas clave</t>
        </is>
      </c>
    </row>
    <row r="19">
      <c r="A19" s="31" t="inlineStr">
        <is>
          <t>Proyecto destacado – Smartfit</t>
        </is>
      </c>
      <c r="B19" s="31" t="inlineStr">
        <is>
          <t>Fachada Smartfit 599 m²</t>
        </is>
      </c>
      <c r="C19" s="31" t="inlineStr">
        <is>
          <t>Referencia arquitectónica para retail / fitness</t>
        </is>
      </c>
    </row>
    <row r="20">
      <c r="A20" s="31" t="inlineStr">
        <is>
          <t>Proyecto destacado – Dollarcity Mamatoco</t>
        </is>
      </c>
      <c r="B20" s="31" t="inlineStr">
        <is>
          <t>Suministro de solución de cubierta para nueva tienda</t>
        </is>
      </c>
      <c r="C20" s="31" t="inlineStr">
        <is>
          <t>Replicable al plan de expansión de la cadena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tabColor rgb="FF00EDB6"/>
    <outlinePr summaryBelow="1" summaryRight="1"/>
    <pageSetUpPr/>
  </sheetPr>
  <dimension ref="A1:P67"/>
  <sheetViews>
    <sheetView showGridLines="0" zoomScaleNormal="100" workbookViewId="0">
      <selection activeCell="E14" sqref="E14"/>
    </sheetView>
  </sheetViews>
  <sheetFormatPr baseColWidth="10" defaultColWidth="8.7109375" defaultRowHeight="15"/>
  <cols>
    <col width="13" customWidth="1" min="1" max="1"/>
    <col width="28" customWidth="1" min="2" max="3"/>
    <col width="22" customWidth="1" min="4" max="4"/>
    <col width="12" customWidth="1" min="5" max="5"/>
    <col width="32" customWidth="1" min="6" max="6"/>
    <col width="11" customWidth="1" min="7" max="7"/>
    <col width="14" customWidth="1" min="8" max="9"/>
    <col width="9" customWidth="1" min="10" max="10"/>
    <col width="13" customWidth="1" min="11" max="11"/>
    <col width="15" customWidth="1" min="12" max="12"/>
    <col width="14.28515625" customWidth="1" min="13" max="13"/>
    <col width="11" customWidth="1" min="14" max="14"/>
    <col width="11" customWidth="1" style="127" min="15" max="15"/>
    <col width="11" customWidth="1" min="16" max="16"/>
  </cols>
  <sheetData>
    <row r="1" ht="18" customHeight="1">
      <c r="A1" s="2" t="inlineStr">
        <is>
          <t>Pipeline de proyectos – Industrial y Distribución (input)</t>
        </is>
      </c>
    </row>
    <row r="2">
      <c r="A2" s="24" t="inlineStr">
        <is>
          <t>Una fila por proyecto. Las columnas grises son auxiliares (no editar).</t>
        </is>
      </c>
    </row>
    <row r="4">
      <c r="A4" s="26" t="inlineStr">
        <is>
          <t>Criterio Top Opportunities (USD o m2)</t>
        </is>
      </c>
      <c r="C4" s="31" t="inlineStr">
        <is>
          <t>USD</t>
        </is>
      </c>
    </row>
    <row r="6" ht="30" customHeight="1">
      <c r="A6" s="25" t="inlineStr">
        <is>
          <t>Segmento</t>
        </is>
      </c>
      <c r="B6" s="25" t="inlineStr">
        <is>
          <t>Cliente</t>
        </is>
      </c>
      <c r="C6" s="25" t="inlineStr">
        <is>
          <t>Proyecto</t>
        </is>
      </c>
      <c r="D6" s="25" t="inlineStr">
        <is>
          <t>Responsable</t>
        </is>
      </c>
      <c r="E6" s="25" t="inlineStr">
        <is>
          <t>País</t>
        </is>
      </c>
      <c r="F6" s="25" t="inlineStr">
        <is>
          <t>Portafolio</t>
        </is>
      </c>
      <c r="G6" s="25" t="inlineStr">
        <is>
          <t>m²</t>
        </is>
      </c>
      <c r="H6" s="25" t="inlineStr">
        <is>
          <t>USD</t>
        </is>
      </c>
      <c r="I6" s="25" t="inlineStr">
        <is>
          <t>Estado</t>
        </is>
      </c>
      <c r="J6" s="25" t="inlineStr">
        <is>
          <t>% Cierre</t>
        </is>
      </c>
      <c r="K6" s="25" t="inlineStr">
        <is>
          <t>Fecha cierre proy.</t>
        </is>
      </c>
      <c r="L6" s="25" t="inlineStr">
        <is>
          <t>Valor ponderado USD</t>
        </is>
      </c>
      <c r="M6" s="25" t="inlineStr">
        <is>
          <t>Clave Top Opps Ind</t>
        </is>
      </c>
      <c r="N6" s="25" t="inlineStr">
        <is>
          <t>Clave Top Opps Dis</t>
        </is>
      </c>
      <c r="O6" s="25" t="inlineStr">
        <is>
          <t>Clave m² Ind</t>
        </is>
      </c>
      <c r="P6" s="25" t="inlineStr">
        <is>
          <t>Clave m² Dis</t>
        </is>
      </c>
    </row>
    <row r="7">
      <c r="A7" s="31" t="inlineStr">
        <is>
          <t>Industrial</t>
        </is>
      </c>
      <c r="B7" s="31" t="inlineStr">
        <is>
          <t>Construplan</t>
        </is>
      </c>
      <c r="C7" s="31" t="inlineStr">
        <is>
          <t>Walmart</t>
        </is>
      </c>
      <c r="D7" s="31" t="inlineStr">
        <is>
          <t>Carlos Rodriguez</t>
        </is>
      </c>
      <c r="E7" s="31" t="inlineStr">
        <is>
          <t>Guatemala</t>
        </is>
      </c>
      <c r="F7" s="31" t="inlineStr">
        <is>
          <t>King Wall / King Frio / King Roof</t>
        </is>
      </c>
      <c r="G7" s="27" t="n">
        <v>100000</v>
      </c>
      <c r="H7" s="36" t="n">
        <v>2787794</v>
      </c>
      <c r="I7" s="31" t="inlineStr">
        <is>
          <t>Specification</t>
        </is>
      </c>
      <c r="J7" s="82" t="n">
        <v>0.75</v>
      </c>
      <c r="K7" s="83" t="inlineStr">
        <is>
          <t>Noviembre</t>
        </is>
      </c>
      <c r="L7" s="58">
        <f>IF(J7="","",H7*J7)</f>
        <v/>
      </c>
      <c r="M7" s="128">
        <f>IF(AND(A7="Industrial",I7&lt;&gt;"Closed Won",B7&lt;&gt;"Others"),IF($C$4="m2",G7,H7)+(1000-ROW())/1000000,"")</f>
        <v/>
      </c>
      <c r="N7" s="129">
        <f>IF(AND(A7="Distribución",I7&lt;&gt;"Closed Won",B7&lt;&gt;"Others"),IF($C$4="m2",G7,H7)+(1000-ROW())/1000000,"")</f>
        <v/>
      </c>
      <c r="O7" s="129">
        <f>IF(AND(A7="Industrial",B7&lt;&gt;"Others"),G7+(1000-ROW())/1000000,"")</f>
        <v/>
      </c>
      <c r="P7" s="129">
        <f>IF(AND(A7="Distribución",B7&lt;&gt;"Others"),G7+(1000-ROW())/1000000,"")</f>
        <v/>
      </c>
    </row>
    <row r="8">
      <c r="A8" s="31" t="inlineStr">
        <is>
          <t>Industrial</t>
        </is>
      </c>
      <c r="B8" s="31" t="inlineStr">
        <is>
          <t>Haceb</t>
        </is>
      </c>
      <c r="C8" s="31" t="inlineStr">
        <is>
          <t>Recambio</t>
        </is>
      </c>
      <c r="D8" s="31" t="inlineStr">
        <is>
          <t>Ana Arias</t>
        </is>
      </c>
      <c r="E8" s="31" t="inlineStr">
        <is>
          <t>Colombia</t>
        </is>
      </c>
      <c r="F8" s="31" t="inlineStr">
        <is>
          <t>KingWall / KingRoof</t>
        </is>
      </c>
      <c r="G8" s="27" t="n">
        <v>61000</v>
      </c>
      <c r="H8" s="36" t="n">
        <v>1700505</v>
      </c>
      <c r="I8" s="31" t="inlineStr">
        <is>
          <t>Pending</t>
        </is>
      </c>
      <c r="J8" s="82" t="n">
        <v>0.8</v>
      </c>
      <c r="K8" s="83" t="inlineStr">
        <is>
          <t>Noviembre</t>
        </is>
      </c>
      <c r="L8" s="58">
        <f>IF(J8="","",H8*J8)</f>
        <v/>
      </c>
      <c r="M8" s="128">
        <f>IF(AND(A8="Industrial",I8&lt;&gt;"Closed Won",B8&lt;&gt;"Others"),IF($C$4="m2",G8,H8)+(1000-ROW())/1000000,"")</f>
        <v/>
      </c>
      <c r="N8" s="129">
        <f>IF(AND(A8="Distribución",I8&lt;&gt;"Closed Won",B8&lt;&gt;"Others"),IF($C$4="m2",G8,H8)+(1000-ROW())/1000000,"")</f>
        <v/>
      </c>
      <c r="O8" s="129">
        <f>IF(AND(A8="Industrial",B8&lt;&gt;"Others"),G8+(1000-ROW())/1000000,"")</f>
        <v/>
      </c>
      <c r="P8" s="129">
        <f>IF(AND(A8="Distribución",B8&lt;&gt;"Others"),G8+(1000-ROW())/1000000,"")</f>
        <v/>
      </c>
    </row>
    <row r="9">
      <c r="A9" s="31" t="inlineStr">
        <is>
          <t>Industrial</t>
        </is>
      </c>
      <c r="B9" s="31" t="inlineStr">
        <is>
          <t>Conmetal</t>
        </is>
      </c>
      <c r="C9" s="31" t="inlineStr">
        <is>
          <t>Bodegas AMT</t>
        </is>
      </c>
      <c r="D9" s="31" t="inlineStr">
        <is>
          <t>Carlos Rodriguez</t>
        </is>
      </c>
      <c r="E9" s="31" t="inlineStr">
        <is>
          <t>Guatemala</t>
        </is>
      </c>
      <c r="F9" s="31" t="inlineStr">
        <is>
          <t>KingRoof / KingWall</t>
        </is>
      </c>
      <c r="G9" s="27" t="n">
        <v>50000</v>
      </c>
      <c r="H9" s="36" t="n">
        <v>1200000</v>
      </c>
      <c r="I9" s="31" t="inlineStr">
        <is>
          <t>Pending</t>
        </is>
      </c>
      <c r="J9" s="82" t="n">
        <v>0.6</v>
      </c>
      <c r="K9" s="83" t="inlineStr">
        <is>
          <t>Diciembre</t>
        </is>
      </c>
      <c r="L9" s="58">
        <f>IF(J9="","",H9*J9)</f>
        <v/>
      </c>
      <c r="M9" s="128">
        <f>IF(AND(A9="Industrial",I9&lt;&gt;"Closed Won",B9&lt;&gt;"Others"),IF($C$4="m2",G9,H9)+(1000-ROW())/1000000,"")</f>
        <v/>
      </c>
      <c r="N9" s="129">
        <f>IF(AND(A9="Distribución",I9&lt;&gt;"Closed Won",B9&lt;&gt;"Others"),IF($C$4="m2",G9,H9)+(1000-ROW())/1000000,"")</f>
        <v/>
      </c>
      <c r="O9" s="129">
        <f>IF(AND(A9="Industrial",B9&lt;&gt;"Others"),G9+(1000-ROW())/1000000,"")</f>
        <v/>
      </c>
      <c r="P9" s="129">
        <f>IF(AND(A9="Distribución",B9&lt;&gt;"Others"),G9+(1000-ROW())/1000000,"")</f>
        <v/>
      </c>
    </row>
    <row r="10">
      <c r="A10" s="31" t="inlineStr">
        <is>
          <t>Industrial</t>
        </is>
      </c>
      <c r="B10" s="31" t="inlineStr">
        <is>
          <t>Imbert Dominguez</t>
        </is>
      </c>
      <c r="C10" s="31" t="inlineStr">
        <is>
          <t>INDAL-IDA</t>
        </is>
      </c>
      <c r="D10" s="31" t="inlineStr">
        <is>
          <t>Laura Torres</t>
        </is>
      </c>
      <c r="E10" s="31" t="inlineStr">
        <is>
          <t>Dominicana</t>
        </is>
      </c>
      <c r="F10" s="31" t="inlineStr">
        <is>
          <t>KingRoof / KingWall / KingFrigo</t>
        </is>
      </c>
      <c r="G10" s="27" t="n">
        <v>50000</v>
      </c>
      <c r="H10" s="36" t="n">
        <v>1550000</v>
      </c>
      <c r="I10" s="31" t="inlineStr">
        <is>
          <t>Pending</t>
        </is>
      </c>
      <c r="J10" s="82" t="n">
        <v>0.75</v>
      </c>
      <c r="K10" s="83" t="inlineStr">
        <is>
          <t>Noviembre</t>
        </is>
      </c>
      <c r="L10" s="58">
        <f>IF(J10="","",H10*J10)</f>
        <v/>
      </c>
      <c r="M10" s="128">
        <f>IF(AND(A10="Industrial",I10&lt;&gt;"Closed Won",B10&lt;&gt;"Others"),IF($C$4="m2",G10,H10)+(1000-ROW())/1000000,"")</f>
        <v/>
      </c>
      <c r="N10" s="129">
        <f>IF(AND(A10="Distribución",I10&lt;&gt;"Closed Won",B10&lt;&gt;"Others"),IF($C$4="m2",G10,H10)+(1000-ROW())/1000000,"")</f>
        <v/>
      </c>
      <c r="O10" s="129">
        <f>IF(AND(A10="Industrial",B10&lt;&gt;"Others"),G10+(1000-ROW())/1000000,"")</f>
        <v/>
      </c>
      <c r="P10" s="129">
        <f>IF(AND(A10="Distribución",B10&lt;&gt;"Others"),G10+(1000-ROW())/1000000,"")</f>
        <v/>
      </c>
    </row>
    <row r="11">
      <c r="A11" s="31" t="inlineStr">
        <is>
          <t>Industrial</t>
        </is>
      </c>
      <c r="B11" s="31" t="inlineStr">
        <is>
          <t>Magnetron</t>
        </is>
      </c>
      <c r="C11" s="31" t="inlineStr">
        <is>
          <t>—</t>
        </is>
      </c>
      <c r="D11" s="31" t="inlineStr">
        <is>
          <t>Julio Guerrero</t>
        </is>
      </c>
      <c r="E11" s="31" t="inlineStr">
        <is>
          <t>Colombia</t>
        </is>
      </c>
      <c r="F11" s="31" t="inlineStr">
        <is>
          <t>KingRoof, KingMetalRoof, KingWall</t>
        </is>
      </c>
      <c r="G11" s="27" t="n">
        <v>45000</v>
      </c>
      <c r="H11" s="36" t="n">
        <v>892114</v>
      </c>
      <c r="I11" s="31" t="inlineStr">
        <is>
          <t>Pending</t>
        </is>
      </c>
      <c r="J11" s="82" t="n"/>
      <c r="K11" s="83" t="n"/>
      <c r="L11" s="58">
        <f>IF(J11="","",H11*J11)</f>
        <v/>
      </c>
      <c r="M11" s="128">
        <f>IF(AND(A11="Industrial",I11&lt;&gt;"Closed Won",B11&lt;&gt;"Others"),IF($C$4="m2",G11,H11)+(1000-ROW())/1000000,"")</f>
        <v/>
      </c>
      <c r="N11" s="129">
        <f>IF(AND(A11="Distribución",I11&lt;&gt;"Closed Won",B11&lt;&gt;"Others"),IF($C$4="m2",G11,H11)+(1000-ROW())/1000000,"")</f>
        <v/>
      </c>
      <c r="O11" s="129">
        <f>IF(AND(A11="Industrial",B11&lt;&gt;"Others"),G11+(1000-ROW())/1000000,"")</f>
        <v/>
      </c>
      <c r="P11" s="129">
        <f>IF(AND(A11="Distribución",B11&lt;&gt;"Others"),G11+(1000-ROW())/1000000,"")</f>
        <v/>
      </c>
    </row>
    <row r="12">
      <c r="A12" s="31" t="inlineStr">
        <is>
          <t>Industrial</t>
        </is>
      </c>
      <c r="B12" s="31" t="inlineStr">
        <is>
          <t>Amo Contratistas</t>
        </is>
      </c>
      <c r="C12" s="31" t="inlineStr">
        <is>
          <t>Nave Lima</t>
        </is>
      </c>
      <c r="D12" s="31" t="inlineStr">
        <is>
          <t>Erick Hinestroza</t>
        </is>
      </c>
      <c r="E12" s="31" t="inlineStr">
        <is>
          <t>Perú</t>
        </is>
      </c>
      <c r="F12" s="31" t="inlineStr">
        <is>
          <t>KingRoof / KingWall</t>
        </is>
      </c>
      <c r="G12" s="27" t="n">
        <v>38000</v>
      </c>
      <c r="H12" s="36" t="n">
        <v>890000</v>
      </c>
      <c r="I12" s="31" t="inlineStr">
        <is>
          <t>Pending</t>
        </is>
      </c>
      <c r="J12" s="82" t="n"/>
      <c r="K12" s="83" t="n"/>
      <c r="L12" s="58">
        <f>IF(J12="","",H12*J12)</f>
        <v/>
      </c>
      <c r="M12" s="128">
        <f>IF(AND(A12="Industrial",I12&lt;&gt;"Closed Won",B12&lt;&gt;"Others"),IF($C$4="m2",G12,H12)+(1000-ROW())/1000000,"")</f>
        <v/>
      </c>
      <c r="N12" s="129">
        <f>IF(AND(A12="Distribución",I12&lt;&gt;"Closed Won",B12&lt;&gt;"Others"),IF($C$4="m2",G12,H12)+(1000-ROW())/1000000,"")</f>
        <v/>
      </c>
      <c r="O12" s="129">
        <f>IF(AND(A12="Industrial",B12&lt;&gt;"Others"),G12+(1000-ROW())/1000000,"")</f>
        <v/>
      </c>
      <c r="P12" s="129">
        <f>IF(AND(A12="Distribución",B12&lt;&gt;"Others"),G12+(1000-ROW())/1000000,"")</f>
        <v/>
      </c>
    </row>
    <row r="13">
      <c r="A13" s="31" t="inlineStr">
        <is>
          <t>Industrial</t>
        </is>
      </c>
      <c r="B13" s="31" t="inlineStr">
        <is>
          <t>Super Alimentos Zona Franca</t>
        </is>
      </c>
      <c r="C13" s="31" t="inlineStr">
        <is>
          <t>Fábrica</t>
        </is>
      </c>
      <c r="D13" s="31" t="inlineStr">
        <is>
          <t>Diego Calderón</t>
        </is>
      </c>
      <c r="E13" s="31" t="inlineStr">
        <is>
          <t>Colombia</t>
        </is>
      </c>
      <c r="F13" s="31" t="inlineStr">
        <is>
          <t>KingRoof / KingWall / KingFrigo</t>
        </is>
      </c>
      <c r="G13" s="27" t="n">
        <v>35000</v>
      </c>
      <c r="H13" s="36" t="n">
        <v>875000</v>
      </c>
      <c r="I13" s="31" t="inlineStr">
        <is>
          <t>Pending</t>
        </is>
      </c>
      <c r="J13" s="82" t="n"/>
      <c r="K13" s="83" t="n"/>
      <c r="L13" s="58">
        <f>IF(J13="","",H13*J13)</f>
        <v/>
      </c>
      <c r="M13" s="128">
        <f>IF(AND(A13="Industrial",I13&lt;&gt;"Closed Won",B13&lt;&gt;"Others"),IF($C$4="m2",G13,H13)+(1000-ROW())/1000000,"")</f>
        <v/>
      </c>
      <c r="N13" s="129">
        <f>IF(AND(A13="Distribución",I13&lt;&gt;"Closed Won",B13&lt;&gt;"Others"),IF($C$4="m2",G13,H13)+(1000-ROW())/1000000,"")</f>
        <v/>
      </c>
      <c r="O13" s="129">
        <f>IF(AND(A13="Industrial",B13&lt;&gt;"Others"),G13+(1000-ROW())/1000000,"")</f>
        <v/>
      </c>
      <c r="P13" s="129">
        <f>IF(AND(A13="Distribución",B13&lt;&gt;"Others"),G13+(1000-ROW())/1000000,"")</f>
        <v/>
      </c>
    </row>
    <row r="14">
      <c r="A14" s="31" t="inlineStr">
        <is>
          <t>Industrial</t>
        </is>
      </c>
      <c r="B14" s="31" t="inlineStr">
        <is>
          <t>Ministerio de Vivienda SV</t>
        </is>
      </c>
      <c r="C14" s="31" t="inlineStr">
        <is>
          <t>Casas El Salvador</t>
        </is>
      </c>
      <c r="D14" s="31" t="inlineStr">
        <is>
          <t>Carlos Rodriguez</t>
        </is>
      </c>
      <c r="E14" s="31" t="inlineStr">
        <is>
          <t>El Salvador</t>
        </is>
      </c>
      <c r="F14" s="31" t="inlineStr">
        <is>
          <t>KingRoof / KingWall</t>
        </is>
      </c>
      <c r="G14" s="27" t="n">
        <v>30000</v>
      </c>
      <c r="H14" s="36" t="n">
        <v>900000</v>
      </c>
      <c r="I14" s="31" t="inlineStr">
        <is>
          <t>Pending</t>
        </is>
      </c>
      <c r="J14" s="82" t="n"/>
      <c r="K14" s="83" t="n"/>
      <c r="L14" s="58">
        <f>IF(J14="","",H14*J14)</f>
        <v/>
      </c>
      <c r="M14" s="128">
        <f>IF(AND(A14="Industrial",I14&lt;&gt;"Closed Won",B14&lt;&gt;"Others"),IF($C$4="m2",G14,H14)+(1000-ROW())/1000000,"")</f>
        <v/>
      </c>
      <c r="N14" s="129">
        <f>IF(AND(A14="Distribución",I14&lt;&gt;"Closed Won",B14&lt;&gt;"Others"),IF($C$4="m2",G14,H14)+(1000-ROW())/1000000,"")</f>
        <v/>
      </c>
      <c r="O14" s="129">
        <f>IF(AND(A14="Industrial",B14&lt;&gt;"Others"),G14+(1000-ROW())/1000000,"")</f>
        <v/>
      </c>
      <c r="P14" s="129">
        <f>IF(AND(A14="Distribución",B14&lt;&gt;"Others"),G14+(1000-ROW())/1000000,"")</f>
        <v/>
      </c>
    </row>
    <row r="15">
      <c r="A15" s="31" t="inlineStr">
        <is>
          <t>Industrial</t>
        </is>
      </c>
      <c r="B15" s="31" t="inlineStr">
        <is>
          <t>Haceb</t>
        </is>
      </c>
      <c r="C15" s="31" t="inlineStr">
        <is>
          <t>Recambio</t>
        </is>
      </c>
      <c r="D15" s="31" t="inlineStr">
        <is>
          <t>Ana Arias</t>
        </is>
      </c>
      <c r="E15" s="31" t="inlineStr">
        <is>
          <t>Colombia</t>
        </is>
      </c>
      <c r="F15" s="31" t="inlineStr">
        <is>
          <t>KingWall / KingRoof</t>
        </is>
      </c>
      <c r="G15" s="27" t="n">
        <v>24000</v>
      </c>
      <c r="H15" s="36" t="n">
        <v>669120</v>
      </c>
      <c r="I15" s="31" t="inlineStr">
        <is>
          <t>Closed Won</t>
        </is>
      </c>
      <c r="J15" s="82" t="n"/>
      <c r="K15" s="83" t="n"/>
      <c r="L15" s="58">
        <f>IF(J15="","",H15*J15)</f>
        <v/>
      </c>
      <c r="M15" s="128" t="n"/>
      <c r="N15" s="129" t="n"/>
      <c r="O15" s="129">
        <f>IF(AND(A15="Industrial",B15&lt;&gt;"Others"),G15+(1000-ROW())/1000000,"")</f>
        <v/>
      </c>
      <c r="P15" s="129">
        <f>IF(AND(A15="Distribución",B15&lt;&gt;"Others"),G15+(1000-ROW())/1000000,"")</f>
        <v/>
      </c>
    </row>
    <row r="16" ht="13.9" customHeight="1">
      <c r="A16" s="31" t="inlineStr">
        <is>
          <t>Industrial</t>
        </is>
      </c>
      <c r="B16" s="31" t="inlineStr">
        <is>
          <t>Prosein</t>
        </is>
      </c>
      <c r="C16" s="31" t="inlineStr">
        <is>
          <t>Casa Venezuela</t>
        </is>
      </c>
      <c r="D16" s="31" t="inlineStr">
        <is>
          <t>María Yelitza Calderón</t>
        </is>
      </c>
      <c r="E16" s="31" t="inlineStr">
        <is>
          <t>Venezuela</t>
        </is>
      </c>
      <c r="F16" s="31" t="inlineStr">
        <is>
          <t>KingFrigo / KingRoof</t>
        </is>
      </c>
      <c r="G16" s="27" t="n">
        <v>22000</v>
      </c>
      <c r="H16" s="36" t="n">
        <v>891749</v>
      </c>
      <c r="I16" s="31" t="inlineStr">
        <is>
          <t>Pending</t>
        </is>
      </c>
      <c r="J16" s="82" t="n"/>
      <c r="K16" s="83" t="n"/>
      <c r="L16" s="58">
        <f>IF(J16="","",H16*J16)</f>
        <v/>
      </c>
      <c r="M16" s="128">
        <f>IF(AND(A16="Industrial",I16&lt;&gt;"Closed Won",B16&lt;&gt;"Others"),IF($C$4="m2",G16,H16)+(1000-ROW())/1000000,"")</f>
        <v/>
      </c>
      <c r="N16" s="129">
        <f>IF(AND(A16="Distribución",I16&lt;&gt;"Closed Won",B16&lt;&gt;"Others"),IF($C$4="m2",G16,H16)+(1000-ROW())/1000000,"")</f>
        <v/>
      </c>
      <c r="O16" s="129">
        <f>IF(AND(A16="Industrial",B16&lt;&gt;"Others"),G16+(1000-ROW())/1000000,"")</f>
        <v/>
      </c>
      <c r="P16" s="129">
        <f>IF(AND(A16="Distribución",B16&lt;&gt;"Others"),G16+(1000-ROW())/1000000,"")</f>
        <v/>
      </c>
    </row>
    <row r="17">
      <c r="A17" s="31" t="inlineStr">
        <is>
          <t>Industrial</t>
        </is>
      </c>
      <c r="B17" s="31" t="inlineStr">
        <is>
          <t>Remar</t>
        </is>
      </c>
      <c r="C17" s="31" t="inlineStr">
        <is>
          <t>Casa Venezuela</t>
        </is>
      </c>
      <c r="D17" s="31" t="inlineStr">
        <is>
          <t>María Yelitza Calderón</t>
        </is>
      </c>
      <c r="E17" s="31" t="inlineStr">
        <is>
          <t>Venezuela</t>
        </is>
      </c>
      <c r="F17" s="31" t="inlineStr">
        <is>
          <t>KingFrigo / KingRoof</t>
        </is>
      </c>
      <c r="G17" s="27" t="n">
        <v>20000</v>
      </c>
      <c r="H17" s="36" t="n">
        <v>577429</v>
      </c>
      <c r="I17" s="31" t="inlineStr">
        <is>
          <t>Pending</t>
        </is>
      </c>
      <c r="J17" s="82" t="n"/>
      <c r="K17" s="83" t="n"/>
      <c r="L17" s="58">
        <f>IF(J17="","",H17*J17)</f>
        <v/>
      </c>
      <c r="M17" s="128">
        <f>IF(AND(A17="Industrial",I17&lt;&gt;"Closed Won",B17&lt;&gt;"Others"),IF($C$4="m2",G17,H17)+(1000-ROW())/1000000,"")</f>
        <v/>
      </c>
      <c r="N17" s="129">
        <f>IF(AND(A17="Distribución",I17&lt;&gt;"Closed Won",B17&lt;&gt;"Others"),IF($C$4="m2",G17,H17)+(1000-ROW())/1000000,"")</f>
        <v/>
      </c>
      <c r="O17" s="129">
        <f>IF(AND(A17="Industrial",B17&lt;&gt;"Others"),G17+(1000-ROW())/1000000,"")</f>
        <v/>
      </c>
      <c r="P17" s="129">
        <f>IF(AND(A17="Distribución",B17&lt;&gt;"Others"),G17+(1000-ROW())/1000000,"")</f>
        <v/>
      </c>
    </row>
    <row r="18">
      <c r="A18" s="31" t="inlineStr">
        <is>
          <t>Industrial</t>
        </is>
      </c>
      <c r="B18" s="31" t="inlineStr">
        <is>
          <t>Cubic 33</t>
        </is>
      </c>
      <c r="C18" s="31" t="inlineStr">
        <is>
          <t>Mapei</t>
        </is>
      </c>
      <c r="D18" s="31" t="inlineStr">
        <is>
          <t>Erick Hinestroza</t>
        </is>
      </c>
      <c r="E18" s="31" t="inlineStr">
        <is>
          <t>Perú</t>
        </is>
      </c>
      <c r="F18" s="31" t="inlineStr">
        <is>
          <t>King Wall / King Frio / King Roof</t>
        </is>
      </c>
      <c r="G18" s="27" t="n">
        <v>18000</v>
      </c>
      <c r="H18" s="36" t="n">
        <v>360000</v>
      </c>
      <c r="I18" s="31" t="inlineStr">
        <is>
          <t>Pending</t>
        </is>
      </c>
      <c r="J18" s="82" t="n"/>
      <c r="K18" s="83" t="n"/>
      <c r="L18" s="58">
        <f>IF(J18="","",H18*J18)</f>
        <v/>
      </c>
      <c r="M18" s="128">
        <f>IF(AND(A18="Industrial",I18&lt;&gt;"Closed Won",B18&lt;&gt;"Others"),IF($C$4="m2",G18,H18)+(1000-ROW())/1000000,"")</f>
        <v/>
      </c>
      <c r="N18" s="129">
        <f>IF(AND(A18="Distribución",I18&lt;&gt;"Closed Won",B18&lt;&gt;"Others"),IF($C$4="m2",G18,H18)+(1000-ROW())/1000000,"")</f>
        <v/>
      </c>
      <c r="O18" s="129">
        <f>IF(AND(A18="Industrial",B18&lt;&gt;"Others"),G18+(1000-ROW())/1000000,"")</f>
        <v/>
      </c>
      <c r="P18" s="129">
        <f>IF(AND(A18="Distribución",B18&lt;&gt;"Others"),G18+(1000-ROW())/1000000,"")</f>
        <v/>
      </c>
    </row>
    <row r="19">
      <c r="A19" s="31" t="inlineStr">
        <is>
          <t>Industrial</t>
        </is>
      </c>
      <c r="B19" s="31" t="inlineStr">
        <is>
          <t>Mecalfab</t>
        </is>
      </c>
      <c r="C19" s="31" t="inlineStr">
        <is>
          <t>Trinidad Sea Food</t>
        </is>
      </c>
      <c r="D19" s="31" t="inlineStr">
        <is>
          <t>Laura Torres</t>
        </is>
      </c>
      <c r="E19" s="31" t="inlineStr">
        <is>
          <t>Trinidad</t>
        </is>
      </c>
      <c r="F19" s="31" t="inlineStr">
        <is>
          <t>King Frio</t>
        </is>
      </c>
      <c r="G19" s="27" t="n">
        <v>16000</v>
      </c>
      <c r="H19" s="36" t="n">
        <v>550000</v>
      </c>
      <c r="I19" s="31" t="inlineStr">
        <is>
          <t>Closed Won</t>
        </is>
      </c>
      <c r="J19" s="82" t="n"/>
      <c r="K19" s="83" t="n"/>
      <c r="L19" s="58">
        <f>IF(J19="","",H19*J19)</f>
        <v/>
      </c>
      <c r="M19" s="128">
        <f>IF(AND(A19="Industrial",I19&lt;&gt;"Closed Won",B19&lt;&gt;"Others"),IF($C$4="m2",G19,H19)+(1000-ROW())/1000000,"")</f>
        <v/>
      </c>
      <c r="N19" s="129">
        <f>IF(AND(A19="Distribución",I19&lt;&gt;"Closed Won",B19&lt;&gt;"Others"),IF($C$4="m2",G19,H19)+(1000-ROW())/1000000,"")</f>
        <v/>
      </c>
      <c r="O19" s="129">
        <f>IF(AND(A19="Industrial",B19&lt;&gt;"Others"),G19+(1000-ROW())/1000000,"")</f>
        <v/>
      </c>
      <c r="P19" s="129">
        <f>IF(AND(A19="Distribución",B19&lt;&gt;"Others"),G19+(1000-ROW())/1000000,"")</f>
        <v/>
      </c>
    </row>
    <row r="20">
      <c r="A20" s="31" t="inlineStr">
        <is>
          <t>Industrial</t>
        </is>
      </c>
      <c r="B20" s="31" t="inlineStr">
        <is>
          <t>Conconcreto</t>
        </is>
      </c>
      <c r="C20" s="31" t="inlineStr">
        <is>
          <t>Planta Arroz Diana B/quilla</t>
        </is>
      </c>
      <c r="D20" s="31" t="inlineStr">
        <is>
          <t>Ana Arias</t>
        </is>
      </c>
      <c r="E20" s="31" t="inlineStr">
        <is>
          <t>Colombia</t>
        </is>
      </c>
      <c r="F20" s="31" t="inlineStr">
        <is>
          <t>KingWall / KingRoof</t>
        </is>
      </c>
      <c r="G20" s="27" t="n">
        <v>13000</v>
      </c>
      <c r="H20" s="36" t="n">
        <v>481132</v>
      </c>
      <c r="I20" s="31" t="inlineStr">
        <is>
          <t>Pending</t>
        </is>
      </c>
      <c r="J20" s="82" t="n"/>
      <c r="K20" s="83" t="n"/>
      <c r="L20" s="58">
        <f>IF(J20="","",H20*J20)</f>
        <v/>
      </c>
      <c r="M20" s="128">
        <f>IF(AND(A20="Industrial",I20&lt;&gt;"Closed Won",B20&lt;&gt;"Others"),IF($C$4="m2",G20,H20)+(1000-ROW())/1000000,"")</f>
        <v/>
      </c>
      <c r="N20" s="129">
        <f>IF(AND(A20="Distribución",I20&lt;&gt;"Closed Won",B20&lt;&gt;"Others"),IF($C$4="m2",G20,H20)+(1000-ROW())/1000000,"")</f>
        <v/>
      </c>
      <c r="O20" s="129">
        <f>IF(AND(A20="Industrial",B20&lt;&gt;"Others"),G20+(1000-ROW())/1000000,"")</f>
        <v/>
      </c>
      <c r="P20" s="129">
        <f>IF(AND(A20="Distribución",B20&lt;&gt;"Others"),G20+(1000-ROW())/1000000,"")</f>
        <v/>
      </c>
    </row>
    <row r="21">
      <c r="A21" s="31" t="inlineStr">
        <is>
          <t>Industrial</t>
        </is>
      </c>
      <c r="B21" s="31" t="inlineStr">
        <is>
          <t>Scadia</t>
        </is>
      </c>
      <c r="C21" s="31" t="inlineStr">
        <is>
          <t>Angar Avianca (Bogotá)</t>
        </is>
      </c>
      <c r="D21" s="31" t="inlineStr">
        <is>
          <t>Julio Guerrero</t>
        </is>
      </c>
      <c r="E21" s="31" t="inlineStr">
        <is>
          <t>Colombia</t>
        </is>
      </c>
      <c r="F21" s="31" t="inlineStr">
        <is>
          <t>KingWall / KingRoof o SS</t>
        </is>
      </c>
      <c r="G21" s="27" t="n">
        <v>13000</v>
      </c>
      <c r="H21" s="36" t="n">
        <v>1203774</v>
      </c>
      <c r="I21" s="31" t="inlineStr">
        <is>
          <t>Pending</t>
        </is>
      </c>
      <c r="J21" s="82" t="n">
        <v>0.6</v>
      </c>
      <c r="K21" s="83" t="inlineStr">
        <is>
          <t>Diciembre</t>
        </is>
      </c>
      <c r="L21" s="58">
        <f>IF(J21="","",H21*J21)</f>
        <v/>
      </c>
      <c r="M21" s="128">
        <f>IF(AND(A21="Industrial",I21&lt;&gt;"Closed Won",B21&lt;&gt;"Others"),IF($C$4="m2",G21,H21)+(1000-ROW())/1000000,"")</f>
        <v/>
      </c>
      <c r="N21" s="129">
        <f>IF(AND(A21="Distribución",I21&lt;&gt;"Closed Won",B21&lt;&gt;"Others"),IF($C$4="m2",G21,H21)+(1000-ROW())/1000000,"")</f>
        <v/>
      </c>
      <c r="O21" s="129">
        <f>IF(AND(A21="Industrial",B21&lt;&gt;"Others"),G21+(1000-ROW())/1000000,"")</f>
        <v/>
      </c>
      <c r="P21" s="129">
        <f>IF(AND(A21="Distribución",B21&lt;&gt;"Others"),G21+(1000-ROW())/1000000,"")</f>
        <v/>
      </c>
    </row>
    <row r="22">
      <c r="A22" s="31" t="inlineStr">
        <is>
          <t>Industrial</t>
        </is>
      </c>
      <c r="B22" s="31" t="inlineStr">
        <is>
          <t>Dolarcity</t>
        </is>
      </c>
      <c r="C22" s="31" t="inlineStr">
        <is>
          <t>Dolarcity</t>
        </is>
      </c>
      <c r="D22" s="31" t="inlineStr">
        <is>
          <t>Julio Guerrero</t>
        </is>
      </c>
      <c r="E22" s="31" t="inlineStr">
        <is>
          <t>Colombia</t>
        </is>
      </c>
      <c r="F22" s="31" t="inlineStr">
        <is>
          <t>KingWall</t>
        </is>
      </c>
      <c r="G22" s="27" t="n">
        <v>12000</v>
      </c>
      <c r="H22" s="36" t="n">
        <v>408282</v>
      </c>
      <c r="I22" s="31" t="inlineStr">
        <is>
          <t>Pending</t>
        </is>
      </c>
      <c r="J22" s="82" t="n"/>
      <c r="K22" s="83" t="n"/>
      <c r="L22" s="58">
        <f>IF(J22="","",H22*J22)</f>
        <v/>
      </c>
      <c r="M22" s="128">
        <f>IF(AND(A22="Industrial",I22&lt;&gt;"Closed Won",B22&lt;&gt;"Others"),IF($C$4="m2",G22,H22)+(1000-ROW())/1000000,"")</f>
        <v/>
      </c>
      <c r="N22" s="129">
        <f>IF(AND(A22="Distribución",I22&lt;&gt;"Closed Won",B22&lt;&gt;"Others"),IF($C$4="m2",G22,H22)+(1000-ROW())/1000000,"")</f>
        <v/>
      </c>
      <c r="O22" s="129">
        <f>IF(AND(A22="Industrial",B22&lt;&gt;"Others"),G22+(1000-ROW())/1000000,"")</f>
        <v/>
      </c>
      <c r="P22" s="129">
        <f>IF(AND(A22="Distribución",B22&lt;&gt;"Others"),G22+(1000-ROW())/1000000,"")</f>
        <v/>
      </c>
    </row>
    <row r="23">
      <c r="A23" s="31" t="inlineStr">
        <is>
          <t>Industrial</t>
        </is>
      </c>
      <c r="B23" s="31" t="inlineStr">
        <is>
          <t>Nestlé</t>
        </is>
      </c>
      <c r="C23" s="31" t="inlineStr">
        <is>
          <t>Planta Bugalagrande</t>
        </is>
      </c>
      <c r="D23" s="31" t="inlineStr">
        <is>
          <t>Diego Calderón</t>
        </is>
      </c>
      <c r="E23" s="31" t="inlineStr">
        <is>
          <t>Colombia</t>
        </is>
      </c>
      <c r="F23" s="31" t="inlineStr">
        <is>
          <t>KingFrigo</t>
        </is>
      </c>
      <c r="G23" s="27" t="n">
        <v>12000</v>
      </c>
      <c r="H23" s="36" t="n">
        <v>617547</v>
      </c>
      <c r="I23" s="31" t="inlineStr">
        <is>
          <t>Pending</t>
        </is>
      </c>
      <c r="J23" s="82" t="n"/>
      <c r="K23" s="83" t="n"/>
      <c r="L23" s="58">
        <f>IF(J23="","",H23*J23)</f>
        <v/>
      </c>
      <c r="M23" s="128">
        <f>IF(AND(A23="Industrial",I23&lt;&gt;"Closed Won",B23&lt;&gt;"Others"),IF($C$4="m2",G23,H23)+(1000-ROW())/1000000,"")</f>
        <v/>
      </c>
      <c r="N23" s="129">
        <f>IF(AND(A23="Distribución",I23&lt;&gt;"Closed Won",B23&lt;&gt;"Others"),IF($C$4="m2",G23,H23)+(1000-ROW())/1000000,"")</f>
        <v/>
      </c>
      <c r="O23" s="129">
        <f>IF(AND(A23="Industrial",B23&lt;&gt;"Others"),G23+(1000-ROW())/1000000,"")</f>
        <v/>
      </c>
      <c r="P23" s="129">
        <f>IF(AND(A23="Distribución",B23&lt;&gt;"Others"),G23+(1000-ROW())/1000000,"")</f>
        <v/>
      </c>
    </row>
    <row r="24">
      <c r="A24" s="31" t="inlineStr">
        <is>
          <t>Industrial</t>
        </is>
      </c>
      <c r="B24" s="31" t="inlineStr">
        <is>
          <t>Metalmecánica</t>
        </is>
      </c>
      <c r="C24" s="31" t="inlineStr">
        <is>
          <t>Indulogix</t>
        </is>
      </c>
      <c r="D24" s="31" t="inlineStr">
        <is>
          <t>Carlos Rodriguez</t>
        </is>
      </c>
      <c r="E24" s="31" t="inlineStr">
        <is>
          <t>Guatemala</t>
        </is>
      </c>
      <c r="F24" s="31" t="inlineStr">
        <is>
          <t>KingWall / KingRoof</t>
        </is>
      </c>
      <c r="G24" s="27" t="n">
        <v>11500</v>
      </c>
      <c r="H24" s="36" t="n">
        <v>310000</v>
      </c>
      <c r="I24" s="31" t="inlineStr">
        <is>
          <t>Closed Won</t>
        </is>
      </c>
      <c r="J24" s="82" t="n"/>
      <c r="K24" s="83" t="n"/>
      <c r="L24" s="58">
        <f>IF(J24="","",H24*J24)</f>
        <v/>
      </c>
      <c r="M24" s="128">
        <f>IF(AND(A24="Industrial",I24&lt;&gt;"Closed Won",B24&lt;&gt;"Others"),IF($C$4="m2",G24,H24)+(1000-ROW())/1000000,"")</f>
        <v/>
      </c>
      <c r="N24" s="129">
        <f>IF(AND(A24="Distribución",I24&lt;&gt;"Closed Won",B24&lt;&gt;"Others"),IF($C$4="m2",G24,H24)+(1000-ROW())/1000000,"")</f>
        <v/>
      </c>
      <c r="O24" s="129">
        <f>IF(AND(A24="Industrial",B24&lt;&gt;"Others"),G24+(1000-ROW())/1000000,"")</f>
        <v/>
      </c>
      <c r="P24" s="129">
        <f>IF(AND(A24="Distribución",B24&lt;&gt;"Others"),G24+(1000-ROW())/1000000,"")</f>
        <v/>
      </c>
    </row>
    <row r="25">
      <c r="A25" s="31" t="inlineStr">
        <is>
          <t>Industrial</t>
        </is>
      </c>
      <c r="B25" s="31" t="inlineStr">
        <is>
          <t>Fluitec</t>
        </is>
      </c>
      <c r="C25" s="31" t="inlineStr">
        <is>
          <t>Nave Sein</t>
        </is>
      </c>
      <c r="D25" s="31" t="inlineStr">
        <is>
          <t>Laura Torres</t>
        </is>
      </c>
      <c r="E25" s="31" t="inlineStr">
        <is>
          <t>Dominicana</t>
        </is>
      </c>
      <c r="F25" s="31" t="inlineStr">
        <is>
          <t>KingRoof / KingWall</t>
        </is>
      </c>
      <c r="G25" s="27" t="n">
        <v>11000</v>
      </c>
      <c r="H25" s="36" t="n">
        <v>307000</v>
      </c>
      <c r="I25" s="31" t="inlineStr">
        <is>
          <t>Closed Won</t>
        </is>
      </c>
      <c r="J25" s="82" t="n"/>
      <c r="K25" s="83" t="n"/>
      <c r="L25" s="58">
        <f>IF(J25="","",H25*J25)</f>
        <v/>
      </c>
      <c r="M25" s="128">
        <f>IF(AND(A25="Industrial",I25&lt;&gt;"Closed Won",B25&lt;&gt;"Others"),IF($C$4="m2",G25,H25)+(1000-ROW())/1000000,"")</f>
        <v/>
      </c>
      <c r="N25" s="129">
        <f>IF(AND(A25="Distribución",I25&lt;&gt;"Closed Won",B25&lt;&gt;"Others"),IF($C$4="m2",G25,H25)+(1000-ROW())/1000000,"")</f>
        <v/>
      </c>
      <c r="O25" s="129">
        <f>IF(AND(A25="Industrial",B25&lt;&gt;"Others"),G25+(1000-ROW())/1000000,"")</f>
        <v/>
      </c>
      <c r="P25" s="129">
        <f>IF(AND(A25="Distribución",B25&lt;&gt;"Others"),G25+(1000-ROW())/1000000,"")</f>
        <v/>
      </c>
    </row>
    <row r="26">
      <c r="A26" s="31" t="inlineStr">
        <is>
          <t>Industrial</t>
        </is>
      </c>
      <c r="B26" s="31" t="inlineStr">
        <is>
          <t>Ménsula / Conconcreto</t>
        </is>
      </c>
      <c r="C26" s="31" t="inlineStr">
        <is>
          <t>Viva Suba / Claro</t>
        </is>
      </c>
      <c r="D26" s="31" t="inlineStr">
        <is>
          <t>Ana Arias</t>
        </is>
      </c>
      <c r="E26" s="31" t="inlineStr">
        <is>
          <t>Colombia</t>
        </is>
      </c>
      <c r="F26" s="31" t="inlineStr">
        <is>
          <t>KingRoof / Benchmark</t>
        </is>
      </c>
      <c r="G26" s="27" t="n">
        <v>10289</v>
      </c>
      <c r="H26" s="36" t="n">
        <v>1600000</v>
      </c>
      <c r="I26" s="31" t="inlineStr">
        <is>
          <t>Pending</t>
        </is>
      </c>
      <c r="J26" s="82" t="n"/>
      <c r="K26" s="83" t="n"/>
      <c r="L26" s="58">
        <f>IF(J26="","",H26*J26)</f>
        <v/>
      </c>
      <c r="M26" s="128">
        <f>IF(AND(A26="Industrial",I26&lt;&gt;"Closed Won",B26&lt;&gt;"Others"),IF($C$4="m2",G26,H26)+(1000-ROW())/1000000,"")</f>
        <v/>
      </c>
      <c r="N26" s="129">
        <f>IF(AND(A26="Distribución",I26&lt;&gt;"Closed Won",B26&lt;&gt;"Others"),IF($C$4="m2",G26,H26)+(1000-ROW())/1000000,"")</f>
        <v/>
      </c>
      <c r="O26" s="129">
        <f>IF(AND(A26="Industrial",B26&lt;&gt;"Others"),G26+(1000-ROW())/1000000,"")</f>
        <v/>
      </c>
      <c r="P26" s="129">
        <f>IF(AND(A26="Distribución",B26&lt;&gt;"Others"),G26+(1000-ROW())/1000000,"")</f>
        <v/>
      </c>
    </row>
    <row r="27">
      <c r="A27" s="31" t="inlineStr">
        <is>
          <t>Industrial</t>
        </is>
      </c>
      <c r="B27" s="31" t="inlineStr">
        <is>
          <t>COPREFA</t>
        </is>
      </c>
      <c r="C27" s="31" t="inlineStr">
        <is>
          <t>Campamento Modular</t>
        </is>
      </c>
      <c r="D27" s="31" t="inlineStr">
        <is>
          <t>Erick Hinestroza</t>
        </is>
      </c>
      <c r="E27" s="31" t="inlineStr">
        <is>
          <t>Perú</t>
        </is>
      </c>
      <c r="F27" s="31" t="inlineStr">
        <is>
          <t>KingFrigo / KingRoof</t>
        </is>
      </c>
      <c r="G27" s="27" t="n">
        <v>8000</v>
      </c>
      <c r="H27" s="36" t="n">
        <v>290000</v>
      </c>
      <c r="I27" s="31" t="inlineStr">
        <is>
          <t>Pending</t>
        </is>
      </c>
      <c r="J27" s="82" t="n"/>
      <c r="K27" s="83" t="n"/>
      <c r="L27" s="58">
        <f>IF(J27="","",H27*J27)</f>
        <v/>
      </c>
      <c r="M27" s="128">
        <f>IF(AND(A27="Industrial",I27&lt;&gt;"Closed Won",B27&lt;&gt;"Others"),IF($C$4="m2",G27,H27)+(1000-ROW())/1000000,"")</f>
        <v/>
      </c>
      <c r="N27" s="129">
        <f>IF(AND(A27="Distribución",I27&lt;&gt;"Closed Won",B27&lt;&gt;"Others"),IF($C$4="m2",G27,H27)+(1000-ROW())/1000000,"")</f>
        <v/>
      </c>
      <c r="O27" s="129">
        <f>IF(AND(A27="Industrial",B27&lt;&gt;"Others"),G27+(1000-ROW())/1000000,"")</f>
        <v/>
      </c>
      <c r="P27" s="129">
        <f>IF(AND(A27="Distribución",B27&lt;&gt;"Others"),G27+(1000-ROW())/1000000,"")</f>
        <v/>
      </c>
    </row>
    <row r="28">
      <c r="A28" s="31" t="inlineStr">
        <is>
          <t>Industrial</t>
        </is>
      </c>
      <c r="B28" s="31" t="inlineStr">
        <is>
          <t>Tronex Fachada</t>
        </is>
      </c>
      <c r="C28" s="31" t="inlineStr">
        <is>
          <t>Proyecto Itagüí</t>
        </is>
      </c>
      <c r="D28" s="31" t="inlineStr">
        <is>
          <t>Ana Arias</t>
        </is>
      </c>
      <c r="E28" s="31" t="inlineStr">
        <is>
          <t>Colombia</t>
        </is>
      </c>
      <c r="F28" s="31" t="inlineStr">
        <is>
          <t>KingWall / KingRoof</t>
        </is>
      </c>
      <c r="G28" s="27" t="n">
        <v>6000</v>
      </c>
      <c r="H28" s="36" t="n">
        <v>94118</v>
      </c>
      <c r="I28" s="31" t="inlineStr">
        <is>
          <t>Pending</t>
        </is>
      </c>
      <c r="J28" s="82" t="n"/>
      <c r="K28" s="83" t="n"/>
      <c r="L28" s="58">
        <f>IF(J28="","",H28*J28)</f>
        <v/>
      </c>
      <c r="M28" s="128">
        <f>IF(AND(A28="Industrial",I28&lt;&gt;"Closed Won",B28&lt;&gt;"Others"),IF($C$4="m2",G28,H28)+(1000-ROW())/1000000,"")</f>
        <v/>
      </c>
      <c r="N28" s="129">
        <f>IF(AND(A28="Distribución",I28&lt;&gt;"Closed Won",B28&lt;&gt;"Others"),IF($C$4="m2",G28,H28)+(1000-ROW())/1000000,"")</f>
        <v/>
      </c>
      <c r="O28" s="129">
        <f>IF(AND(A28="Industrial",B28&lt;&gt;"Others"),G28+(1000-ROW())/1000000,"")</f>
        <v/>
      </c>
      <c r="P28" s="129">
        <f>IF(AND(A28="Distribución",B28&lt;&gt;"Others"),G28+(1000-ROW())/1000000,"")</f>
        <v/>
      </c>
    </row>
    <row r="29">
      <c r="A29" s="31" t="inlineStr">
        <is>
          <t>Industrial</t>
        </is>
      </c>
      <c r="B29" s="31" t="inlineStr">
        <is>
          <t>Xperto</t>
        </is>
      </c>
      <c r="C29" s="31" t="inlineStr">
        <is>
          <t>Xperto</t>
        </is>
      </c>
      <c r="D29" s="31" t="inlineStr">
        <is>
          <t>Alejandra Navas</t>
        </is>
      </c>
      <c r="E29" s="31" t="inlineStr">
        <is>
          <t>Ecuador</t>
        </is>
      </c>
      <c r="F29" s="31" t="inlineStr">
        <is>
          <t>KingFrigo</t>
        </is>
      </c>
      <c r="G29" s="27" t="n">
        <v>5500</v>
      </c>
      <c r="H29" s="36" t="n">
        <v>288750</v>
      </c>
      <c r="I29" s="31" t="inlineStr">
        <is>
          <t>Pending</t>
        </is>
      </c>
      <c r="J29" s="82" t="n"/>
      <c r="K29" s="83" t="n"/>
      <c r="L29" s="58">
        <f>IF(J29="","",H29*J29)</f>
        <v/>
      </c>
      <c r="M29" s="128">
        <f>IF(AND(A29="Industrial",I29&lt;&gt;"Closed Won",B29&lt;&gt;"Others"),IF($C$4="m2",G29,H29)+(1000-ROW())/1000000,"")</f>
        <v/>
      </c>
      <c r="N29" s="129">
        <f>IF(AND(A29="Distribución",I29&lt;&gt;"Closed Won",B29&lt;&gt;"Others"),IF($C$4="m2",G29,H29)+(1000-ROW())/1000000,"")</f>
        <v/>
      </c>
      <c r="O29" s="129">
        <f>IF(AND(A29="Industrial",B29&lt;&gt;"Others"),G29+(1000-ROW())/1000000,"")</f>
        <v/>
      </c>
      <c r="P29" s="129">
        <f>IF(AND(A29="Distribución",B29&lt;&gt;"Others"),G29+(1000-ROW())/1000000,"")</f>
        <v/>
      </c>
    </row>
    <row r="30">
      <c r="A30" s="31" t="inlineStr">
        <is>
          <t>Industrial</t>
        </is>
      </c>
      <c r="B30" s="31" t="inlineStr">
        <is>
          <t>JT Allum</t>
        </is>
      </c>
      <c r="C30" s="31" t="inlineStr">
        <is>
          <t>JT Allum</t>
        </is>
      </c>
      <c r="D30" s="31" t="inlineStr">
        <is>
          <t>Laura Torres</t>
        </is>
      </c>
      <c r="E30" s="31" t="inlineStr">
        <is>
          <t>Trinidad</t>
        </is>
      </c>
      <c r="F30" s="31" t="inlineStr">
        <is>
          <t>KingRoof</t>
        </is>
      </c>
      <c r="G30" s="27" t="n">
        <v>5000</v>
      </c>
      <c r="H30" s="36" t="n">
        <v>170000</v>
      </c>
      <c r="I30" s="31" t="inlineStr">
        <is>
          <t>Pending</t>
        </is>
      </c>
      <c r="J30" s="82" t="n"/>
      <c r="K30" s="83" t="n"/>
      <c r="L30" s="58">
        <f>IF(J30="","",H30*J30)</f>
        <v/>
      </c>
      <c r="M30" s="128">
        <f>IF(AND(A30="Industrial",I30&lt;&gt;"Closed Won",B30&lt;&gt;"Others"),IF($C$4="m2",G30,H30)+(1000-ROW())/1000000,"")</f>
        <v/>
      </c>
      <c r="N30" s="129">
        <f>IF(AND(A30="Distribución",I30&lt;&gt;"Closed Won",B30&lt;&gt;"Others"),IF($C$4="m2",G30,H30)+(1000-ROW())/1000000,"")</f>
        <v/>
      </c>
      <c r="O30" s="129">
        <f>IF(AND(A30="Industrial",B30&lt;&gt;"Others"),G30+(1000-ROW())/1000000,"")</f>
        <v/>
      </c>
      <c r="P30" s="129">
        <f>IF(AND(A30="Distribución",B30&lt;&gt;"Others"),G30+(1000-ROW())/1000000,"")</f>
        <v/>
      </c>
    </row>
    <row r="31">
      <c r="A31" s="31" t="inlineStr">
        <is>
          <t>Industrial</t>
        </is>
      </c>
      <c r="B31" s="31" t="inlineStr">
        <is>
          <t>Inversiones Cold</t>
        </is>
      </c>
      <c r="C31" s="31" t="inlineStr">
        <is>
          <t>Proyecto</t>
        </is>
      </c>
      <c r="D31" s="31" t="inlineStr">
        <is>
          <t>María Yelitza Calderón</t>
        </is>
      </c>
      <c r="E31" s="31" t="inlineStr">
        <is>
          <t>Venezuela</t>
        </is>
      </c>
      <c r="F31" s="31" t="inlineStr">
        <is>
          <t>KingRoof / KingFrigo</t>
        </is>
      </c>
      <c r="G31" s="27" t="n">
        <v>5000</v>
      </c>
      <c r="H31" s="36" t="n">
        <v>120000</v>
      </c>
      <c r="I31" s="31" t="inlineStr">
        <is>
          <t>Closed Won</t>
        </is>
      </c>
      <c r="J31" s="82" t="n"/>
      <c r="K31" s="83" t="n"/>
      <c r="L31" s="58">
        <f>IF(J31="","",H31*J31)</f>
        <v/>
      </c>
      <c r="M31" s="128">
        <f>IF(AND(A31="Industrial",I31&lt;&gt;"Closed Won",B31&lt;&gt;"Others"),IF($C$4="m2",G31,H31)+(1000-ROW())/1000000,"")</f>
        <v/>
      </c>
      <c r="N31" s="129">
        <f>IF(AND(A31="Distribución",I31&lt;&gt;"Closed Won",B31&lt;&gt;"Others"),IF($C$4="m2",G31,H31)+(1000-ROW())/1000000,"")</f>
        <v/>
      </c>
      <c r="O31" s="129">
        <f>IF(AND(A31="Industrial",B31&lt;&gt;"Others"),G31+(1000-ROW())/1000000,"")</f>
        <v/>
      </c>
      <c r="P31" s="129">
        <f>IF(AND(A31="Distribución",B31&lt;&gt;"Others"),G31+(1000-ROW())/1000000,"")</f>
        <v/>
      </c>
    </row>
    <row r="32">
      <c r="A32" s="31" t="inlineStr">
        <is>
          <t>Industrial</t>
        </is>
      </c>
      <c r="B32" s="31" t="inlineStr">
        <is>
          <t>Grupo Constructor Industrial</t>
        </is>
      </c>
      <c r="C32" s="31" t="inlineStr">
        <is>
          <t>Planta de líquidos Hada</t>
        </is>
      </c>
      <c r="D32" s="31" t="inlineStr">
        <is>
          <t>Ana Arias</t>
        </is>
      </c>
      <c r="E32" s="31" t="inlineStr">
        <is>
          <t>Colombia</t>
        </is>
      </c>
      <c r="F32" s="31" t="inlineStr">
        <is>
          <t>KingWall / King Frio</t>
        </is>
      </c>
      <c r="G32" s="27" t="n">
        <v>4600</v>
      </c>
      <c r="H32" s="36" t="n">
        <v>226730</v>
      </c>
      <c r="I32" s="31" t="inlineStr">
        <is>
          <t>Pending</t>
        </is>
      </c>
      <c r="J32" s="82" t="n"/>
      <c r="K32" s="83" t="n"/>
      <c r="L32" s="58">
        <f>IF(J32="","",H32*J32)</f>
        <v/>
      </c>
      <c r="M32" s="128">
        <f>IF(AND(A32="Industrial",I32&lt;&gt;"Closed Won",B32&lt;&gt;"Others"),IF($C$4="m2",G32,H32)+(1000-ROW())/1000000,"")</f>
        <v/>
      </c>
      <c r="N32" s="129">
        <f>IF(AND(A32="Distribución",I32&lt;&gt;"Closed Won",B32&lt;&gt;"Others"),IF($C$4="m2",G32,H32)+(1000-ROW())/1000000,"")</f>
        <v/>
      </c>
      <c r="O32" s="129">
        <f>IF(AND(A32="Industrial",B32&lt;&gt;"Others"),G32+(1000-ROW())/1000000,"")</f>
        <v/>
      </c>
      <c r="P32" s="129">
        <f>IF(AND(A32="Distribución",B32&lt;&gt;"Others"),G32+(1000-ROW())/1000000,"")</f>
        <v/>
      </c>
    </row>
    <row r="33">
      <c r="A33" s="31" t="inlineStr">
        <is>
          <t>Industrial</t>
        </is>
      </c>
      <c r="B33" s="31" t="inlineStr">
        <is>
          <t>Arklit</t>
        </is>
      </c>
      <c r="C33" s="31" t="inlineStr">
        <is>
          <t>Proyecto Hiper Santo Domingo</t>
        </is>
      </c>
      <c r="D33" s="31" t="inlineStr">
        <is>
          <t>Alejandra Navas</t>
        </is>
      </c>
      <c r="E33" s="31" t="inlineStr">
        <is>
          <t>Ecuador</t>
        </is>
      </c>
      <c r="F33" s="31" t="inlineStr">
        <is>
          <t>KingWall</t>
        </is>
      </c>
      <c r="G33" s="27" t="n">
        <v>4300</v>
      </c>
      <c r="H33" s="36" t="n">
        <v>90300</v>
      </c>
      <c r="I33" s="31" t="inlineStr">
        <is>
          <t>Pending</t>
        </is>
      </c>
      <c r="J33" s="82" t="n"/>
      <c r="K33" s="83" t="n"/>
      <c r="L33" s="58">
        <f>IF(J33="","",H33*J33)</f>
        <v/>
      </c>
      <c r="M33" s="128">
        <f>IF(AND(A33="Industrial",I33&lt;&gt;"Closed Won",B33&lt;&gt;"Others"),IF($C$4="m2",G33,H33)+(1000-ROW())/1000000,"")</f>
        <v/>
      </c>
      <c r="N33" s="129">
        <f>IF(AND(A33="Distribución",I33&lt;&gt;"Closed Won",B33&lt;&gt;"Others"),IF($C$4="m2",G33,H33)+(1000-ROW())/1000000,"")</f>
        <v/>
      </c>
      <c r="O33" s="129">
        <f>IF(AND(A33="Industrial",B33&lt;&gt;"Others"),G33+(1000-ROW())/1000000,"")</f>
        <v/>
      </c>
      <c r="P33" s="129">
        <f>IF(AND(A33="Distribución",B33&lt;&gt;"Others"),G33+(1000-ROW())/1000000,"")</f>
        <v/>
      </c>
    </row>
    <row r="34">
      <c r="A34" s="31" t="inlineStr">
        <is>
          <t>Industrial</t>
        </is>
      </c>
      <c r="B34" s="31" t="inlineStr">
        <is>
          <t>Others</t>
        </is>
      </c>
      <c r="C34" s="31" t="inlineStr">
        <is>
          <t>Different projects</t>
        </is>
      </c>
      <c r="D34" s="31" t="inlineStr">
        <is>
          <t>—</t>
        </is>
      </c>
      <c r="E34" s="31" t="inlineStr">
        <is>
          <t>Others</t>
        </is>
      </c>
      <c r="F34" s="31" t="inlineStr">
        <is>
          <t>King Wall / King Frio / King Roof</t>
        </is>
      </c>
      <c r="G34" s="27" t="n">
        <v>32582</v>
      </c>
      <c r="H34" s="36" t="n">
        <v>986673</v>
      </c>
      <c r="I34" s="31" t="inlineStr">
        <is>
          <t>Pending</t>
        </is>
      </c>
      <c r="J34" s="82" t="n"/>
      <c r="K34" s="83" t="n"/>
      <c r="L34" s="58">
        <f>IF(J34="","",H34*J34)</f>
        <v/>
      </c>
      <c r="M34" s="128">
        <f>IF(AND(A34="Industrial",I34&lt;&gt;"Closed Won",B34&lt;&gt;"Others"),IF($C$4="m2",G34,H34)+(1000-ROW())/1000000,"")</f>
        <v/>
      </c>
      <c r="N34" s="129">
        <f>IF(AND(A34="Distribución",I34&lt;&gt;"Closed Won",B34&lt;&gt;"Others"),IF($C$4="m2",G34,H34)+(1000-ROW())/1000000,"")</f>
        <v/>
      </c>
      <c r="O34" s="129">
        <f>IF(AND(A34="Industrial",B34&lt;&gt;"Others"),G34+(1000-ROW())/1000000,"")</f>
        <v/>
      </c>
      <c r="P34" s="129">
        <f>IF(AND(A34="Distribución",B34&lt;&gt;"Others"),G34+(1000-ROW())/1000000,"")</f>
        <v/>
      </c>
    </row>
    <row r="35">
      <c r="A35" s="31" t="inlineStr">
        <is>
          <t>Distribución</t>
        </is>
      </c>
      <c r="B35" s="31" t="inlineStr">
        <is>
          <t>Colcover</t>
        </is>
      </c>
      <c r="C35" s="31" t="inlineStr">
        <is>
          <t>Proyecto</t>
        </is>
      </c>
      <c r="D35" s="31" t="inlineStr">
        <is>
          <t>Henry Acosta</t>
        </is>
      </c>
      <c r="E35" s="31" t="inlineStr">
        <is>
          <t>Colombia</t>
        </is>
      </c>
      <c r="F35" s="31" t="inlineStr">
        <is>
          <t>KingRoof</t>
        </is>
      </c>
      <c r="G35" s="27" t="n">
        <v>21528</v>
      </c>
      <c r="H35" s="36" t="n">
        <v>411564.71</v>
      </c>
      <c r="I35" s="31" t="inlineStr">
        <is>
          <t>Pending</t>
        </is>
      </c>
      <c r="J35" s="82" t="n">
        <v>0.8</v>
      </c>
      <c r="K35" s="83" t="inlineStr">
        <is>
          <t>Noviembre</t>
        </is>
      </c>
      <c r="L35" s="58">
        <f>IF(J35="","",H35*J35)</f>
        <v/>
      </c>
      <c r="M35" s="128">
        <f>IF(AND(A35="Industrial",I35&lt;&gt;"Closed Won",B35&lt;&gt;"Others"),IF($C$4="m2",G35,H35)+(1000-ROW())/1000000,"")</f>
        <v/>
      </c>
      <c r="N35" s="129">
        <f>IF(AND(A35="Distribución",I35&lt;&gt;"Closed Won",B35&lt;&gt;"Others"),IF($C$4="m2",G35,H35)+(1000-ROW())/1000000,"")</f>
        <v/>
      </c>
      <c r="O35" s="129">
        <f>IF(AND(A35="Industrial",B35&lt;&gt;"Others"),G35+(1000-ROW())/1000000,"")</f>
        <v/>
      </c>
      <c r="P35" s="129">
        <f>IF(AND(A35="Distribución",B35&lt;&gt;"Others"),G35+(1000-ROW())/1000000,"")</f>
        <v/>
      </c>
    </row>
    <row r="36">
      <c r="A36" s="31" t="inlineStr">
        <is>
          <t>Distribución</t>
        </is>
      </c>
      <c r="B36" s="31" t="inlineStr">
        <is>
          <t>Galvaceros</t>
        </is>
      </c>
      <c r="C36" s="31" t="inlineStr">
        <is>
          <t>Colegios Sucre</t>
        </is>
      </c>
      <c r="D36" s="31" t="inlineStr">
        <is>
          <t>Joana Perez</t>
        </is>
      </c>
      <c r="E36" s="31" t="inlineStr">
        <is>
          <t>Colombia</t>
        </is>
      </c>
      <c r="F36" s="31" t="inlineStr">
        <is>
          <t>KingRoof</t>
        </is>
      </c>
      <c r="G36" s="27" t="n">
        <v>14000</v>
      </c>
      <c r="H36" s="36" t="n">
        <v>333529</v>
      </c>
      <c r="I36" s="31" t="inlineStr">
        <is>
          <t>Pending</t>
        </is>
      </c>
      <c r="J36" s="82" t="n">
        <v>0.82</v>
      </c>
      <c r="K36" s="83" t="inlineStr">
        <is>
          <t>Noviembre</t>
        </is>
      </c>
      <c r="L36" s="58">
        <f>IF(J36="","",H36*J36)</f>
        <v/>
      </c>
      <c r="M36" s="128">
        <f>IF(AND(A36="Industrial",I36&lt;&gt;"Closed Won",B36&lt;&gt;"Others"),IF($C$4="m2",G36,H36)+(1000-ROW())/1000000,"")</f>
        <v/>
      </c>
      <c r="N36" s="129">
        <f>IF(AND(A36="Distribución",I36&lt;&gt;"Closed Won",B36&lt;&gt;"Others"),IF($C$4="m2",G36,H36)+(1000-ROW())/1000000,"")</f>
        <v/>
      </c>
      <c r="O36" s="129">
        <f>IF(AND(A36="Industrial",B36&lt;&gt;"Others"),G36+(1000-ROW())/1000000,"")</f>
        <v/>
      </c>
      <c r="P36" s="129">
        <f>IF(AND(A36="Distribución",B36&lt;&gt;"Others"),G36+(1000-ROW())/1000000,"")</f>
        <v/>
      </c>
    </row>
    <row r="37">
      <c r="A37" s="31" t="inlineStr">
        <is>
          <t>Distribución</t>
        </is>
      </c>
      <c r="B37" s="31" t="inlineStr">
        <is>
          <t>RFS</t>
        </is>
      </c>
      <c r="C37" s="31" t="inlineStr">
        <is>
          <t>Cold Storage</t>
        </is>
      </c>
      <c r="D37" s="31" t="inlineStr">
        <is>
          <t>Juan Carlos Menendez</t>
        </is>
      </c>
      <c r="E37" s="31" t="inlineStr">
        <is>
          <t>Costa Rica</t>
        </is>
      </c>
      <c r="F37" s="31" t="inlineStr">
        <is>
          <t>KingFrigo</t>
        </is>
      </c>
      <c r="G37" s="27" t="n">
        <v>12500</v>
      </c>
      <c r="H37" s="36" t="n">
        <v>312500</v>
      </c>
      <c r="I37" s="31" t="inlineStr">
        <is>
          <t>Closed Won</t>
        </is>
      </c>
      <c r="J37" s="82" t="n"/>
      <c r="K37" s="83" t="n"/>
      <c r="L37" s="58">
        <f>IF(J37="","",H37*J37)</f>
        <v/>
      </c>
      <c r="M37" s="128">
        <f>IF(AND(A37="Industrial",I37&lt;&gt;"Closed Won",B37&lt;&gt;"Others"),IF($C$4="m2",G37,H37)+(1000-ROW())/1000000,"")</f>
        <v/>
      </c>
      <c r="N37" s="129">
        <f>IF(AND(A37="Distribución",I37&lt;&gt;"Closed Won",B37&lt;&gt;"Others"),IF($C$4="m2",G37,H37)+(1000-ROW())/1000000,"")</f>
        <v/>
      </c>
      <c r="O37" s="129">
        <f>IF(AND(A37="Industrial",B37&lt;&gt;"Others"),G37+(1000-ROW())/1000000,"")</f>
        <v/>
      </c>
      <c r="P37" s="129">
        <f>IF(AND(A37="Distribución",B37&lt;&gt;"Others"),G37+(1000-ROW())/1000000,"")</f>
        <v/>
      </c>
    </row>
    <row r="38">
      <c r="A38" s="31" t="inlineStr">
        <is>
          <t>Distribución</t>
        </is>
      </c>
      <c r="B38" s="31" t="inlineStr">
        <is>
          <t>CIA Caribe Mar</t>
        </is>
      </c>
      <c r="C38" s="31" t="inlineStr">
        <is>
          <t>Antártica</t>
        </is>
      </c>
      <c r="D38" s="31" t="inlineStr">
        <is>
          <t>María Yelitza Calderón</t>
        </is>
      </c>
      <c r="E38" s="31" t="inlineStr">
        <is>
          <t>Venezuela</t>
        </is>
      </c>
      <c r="F38" s="31" t="inlineStr">
        <is>
          <t>KingFrigo</t>
        </is>
      </c>
      <c r="G38" s="27" t="n">
        <v>12000</v>
      </c>
      <c r="H38" s="36" t="n">
        <v>360000</v>
      </c>
      <c r="I38" s="31" t="inlineStr">
        <is>
          <t>Specification</t>
        </is>
      </c>
      <c r="J38" s="82" t="n">
        <v>0.9</v>
      </c>
      <c r="K38" s="83" t="inlineStr">
        <is>
          <t>Noviembre</t>
        </is>
      </c>
      <c r="L38" s="58">
        <f>IF(J38="","",H38*J38)</f>
        <v/>
      </c>
      <c r="M38" s="128">
        <f>IF(AND(A38="Industrial",I38&lt;&gt;"Closed Won",B38&lt;&gt;"Others"),IF($C$4="m2",G38,H38)+(1000-ROW())/1000000,"")</f>
        <v/>
      </c>
      <c r="N38" s="129">
        <f>IF(AND(A38="Distribución",I38&lt;&gt;"Closed Won",B38&lt;&gt;"Others"),IF($C$4="m2",G38,H38)+(1000-ROW())/1000000,"")</f>
        <v/>
      </c>
      <c r="O38" s="129">
        <f>IF(AND(A38="Industrial",B38&lt;&gt;"Others"),G38+(1000-ROW())/1000000,"")</f>
        <v/>
      </c>
      <c r="P38" s="129">
        <f>IF(AND(A38="Distribución",B38&lt;&gt;"Others"),G38+(1000-ROW())/1000000,"")</f>
        <v/>
      </c>
    </row>
    <row r="39">
      <c r="A39" s="31" t="inlineStr">
        <is>
          <t>Distribución</t>
        </is>
      </c>
      <c r="B39" s="31" t="inlineStr">
        <is>
          <t>Galvaceros</t>
        </is>
      </c>
      <c r="C39" s="31" t="inlineStr">
        <is>
          <t>Panandina Data Center</t>
        </is>
      </c>
      <c r="D39" s="31" t="inlineStr">
        <is>
          <t>Joana Perez</t>
        </is>
      </c>
      <c r="E39" s="31" t="inlineStr">
        <is>
          <t>Colombia</t>
        </is>
      </c>
      <c r="F39" s="31" t="inlineStr">
        <is>
          <t>KingRoof / KingWall LMR</t>
        </is>
      </c>
      <c r="G39" s="27" t="n">
        <v>4106</v>
      </c>
      <c r="H39" s="36" t="n">
        <v>494712</v>
      </c>
      <c r="I39" s="31" t="inlineStr">
        <is>
          <t>Pending</t>
        </is>
      </c>
      <c r="J39" s="82" t="n">
        <v>0.85</v>
      </c>
      <c r="K39" s="83" t="inlineStr">
        <is>
          <t>Diciembre</t>
        </is>
      </c>
      <c r="L39" s="58">
        <f>IF(J39="","",H39*J39)</f>
        <v/>
      </c>
      <c r="M39" s="128">
        <f>IF(AND(A39="Industrial",I39&lt;&gt;"Closed Won",B39&lt;&gt;"Others"),IF($C$4="m2",G39,H39)+(1000-ROW())/1000000,"")</f>
        <v/>
      </c>
      <c r="N39" s="129">
        <f>IF(AND(A39="Distribución",I39&lt;&gt;"Closed Won",B39&lt;&gt;"Others"),IF($C$4="m2",G39,H39)+(1000-ROW())/1000000,"")</f>
        <v/>
      </c>
      <c r="O39" s="129">
        <f>IF(AND(A39="Industrial",B39&lt;&gt;"Others"),G39+(1000-ROW())/1000000,"")</f>
        <v/>
      </c>
      <c r="P39" s="129">
        <f>IF(AND(A39="Distribución",B39&lt;&gt;"Others"),G39+(1000-ROW())/1000000,"")</f>
        <v/>
      </c>
    </row>
    <row r="40">
      <c r="A40" s="31" t="inlineStr">
        <is>
          <t>Distribución</t>
        </is>
      </c>
      <c r="B40" s="31" t="inlineStr">
        <is>
          <t>Espuma SantaFe</t>
        </is>
      </c>
      <c r="C40" s="31" t="inlineStr">
        <is>
          <t>Recambio</t>
        </is>
      </c>
      <c r="D40" s="31" t="inlineStr">
        <is>
          <t>Henry Acosta</t>
        </is>
      </c>
      <c r="E40" s="31" t="inlineStr">
        <is>
          <t>Colombia</t>
        </is>
      </c>
      <c r="F40" s="31" t="inlineStr">
        <is>
          <t>KingRoof / KingWall</t>
        </is>
      </c>
      <c r="G40" s="27" t="n">
        <v>4000</v>
      </c>
      <c r="H40" s="36" t="n">
        <v>152072</v>
      </c>
      <c r="I40" s="31" t="inlineStr">
        <is>
          <t>Pending</t>
        </is>
      </c>
      <c r="J40" s="82" t="n">
        <v>0.8</v>
      </c>
      <c r="K40" s="83" t="inlineStr">
        <is>
          <t>Diciembre</t>
        </is>
      </c>
      <c r="L40" s="58">
        <f>IF(J40="","",H40*J40)</f>
        <v/>
      </c>
      <c r="M40" s="128">
        <f>IF(AND(A40="Industrial",I40&lt;&gt;"Closed Won",B40&lt;&gt;"Others"),IF($C$4="m2",G40,H40)+(1000-ROW())/1000000,"")</f>
        <v/>
      </c>
      <c r="N40" s="129">
        <f>IF(AND(A40="Distribución",I40&lt;&gt;"Closed Won",B40&lt;&gt;"Others"),IF($C$4="m2",G40,H40)+(1000-ROW())/1000000,"")</f>
        <v/>
      </c>
      <c r="O40" s="129">
        <f>IF(AND(A40="Industrial",B40&lt;&gt;"Others"),G40+(1000-ROW())/1000000,"")</f>
        <v/>
      </c>
      <c r="P40" s="129">
        <f>IF(AND(A40="Distribución",B40&lt;&gt;"Others"),G40+(1000-ROW())/1000000,"")</f>
        <v/>
      </c>
    </row>
    <row r="41">
      <c r="A41" s="31" t="inlineStr">
        <is>
          <t>Distribución</t>
        </is>
      </c>
      <c r="B41" s="31" t="inlineStr">
        <is>
          <t>Galvaceros</t>
        </is>
      </c>
      <c r="C41" s="31" t="inlineStr">
        <is>
          <t>Bodega Amazon etapa 2</t>
        </is>
      </c>
      <c r="D41" s="31" t="inlineStr">
        <is>
          <t>Joana Perez</t>
        </is>
      </c>
      <c r="E41" s="31" t="inlineStr">
        <is>
          <t>Colombia</t>
        </is>
      </c>
      <c r="F41" s="31" t="inlineStr">
        <is>
          <t>KingRoof</t>
        </is>
      </c>
      <c r="G41" s="27" t="n">
        <v>4000</v>
      </c>
      <c r="H41" s="36" t="n">
        <v>136094</v>
      </c>
      <c r="I41" s="31" t="inlineStr">
        <is>
          <t>Pending</t>
        </is>
      </c>
      <c r="J41" s="82" t="n"/>
      <c r="K41" s="83" t="n"/>
      <c r="L41" s="58">
        <f>IF(J41="","",H41*J41)</f>
        <v/>
      </c>
      <c r="M41" s="128">
        <f>IF(AND(A41="Industrial",I41&lt;&gt;"Closed Won",B41&lt;&gt;"Others"),IF($C$4="m2",G41,H41)+(1000-ROW())/1000000,"")</f>
        <v/>
      </c>
      <c r="N41" s="129">
        <f>IF(AND(A41="Distribución",I41&lt;&gt;"Closed Won",B41&lt;&gt;"Others"),IF($C$4="m2",G41,H41)+(1000-ROW())/1000000,"")</f>
        <v/>
      </c>
      <c r="O41" s="129">
        <f>IF(AND(A41="Industrial",B41&lt;&gt;"Others"),G41+(1000-ROW())/1000000,"")</f>
        <v/>
      </c>
      <c r="P41" s="129">
        <f>IF(AND(A41="Distribución",B41&lt;&gt;"Others"),G41+(1000-ROW())/1000000,"")</f>
        <v/>
      </c>
    </row>
    <row r="42">
      <c r="A42" s="31" t="inlineStr">
        <is>
          <t>Distribución</t>
        </is>
      </c>
      <c r="B42" s="31" t="inlineStr">
        <is>
          <t>Agropecuaria SantaCruz</t>
        </is>
      </c>
      <c r="C42" s="31" t="inlineStr">
        <is>
          <t>Cuarto Frío</t>
        </is>
      </c>
      <c r="D42" s="31" t="inlineStr">
        <is>
          <t>Erwin Ríos</t>
        </is>
      </c>
      <c r="E42" s="31" t="inlineStr">
        <is>
          <t>Colombia</t>
        </is>
      </c>
      <c r="F42" s="31" t="inlineStr">
        <is>
          <t>KingFrigo</t>
        </is>
      </c>
      <c r="G42" s="27" t="n">
        <v>2715</v>
      </c>
      <c r="H42" s="36" t="n">
        <v>119437</v>
      </c>
      <c r="I42" s="31" t="inlineStr">
        <is>
          <t>Closed Won</t>
        </is>
      </c>
      <c r="J42" s="82" t="n"/>
      <c r="K42" s="83" t="n"/>
      <c r="L42" s="58">
        <f>IF(J42="","",H42*J42)</f>
        <v/>
      </c>
      <c r="M42" s="128">
        <f>IF(AND(A42="Industrial",I42&lt;&gt;"Closed Won",B42&lt;&gt;"Others"),IF($C$4="m2",G42,H42)+(1000-ROW())/1000000,"")</f>
        <v/>
      </c>
      <c r="N42" s="129">
        <f>IF(AND(A42="Distribución",I42&lt;&gt;"Closed Won",B42&lt;&gt;"Others"),IF($C$4="m2",G42,H42)+(1000-ROW())/1000000,"")</f>
        <v/>
      </c>
      <c r="O42" s="129">
        <f>IF(AND(A42="Industrial",B42&lt;&gt;"Others"),G42+(1000-ROW())/1000000,"")</f>
        <v/>
      </c>
      <c r="P42" s="129">
        <f>IF(AND(A42="Distribución",B42&lt;&gt;"Others"),G42+(1000-ROW())/1000000,"")</f>
        <v/>
      </c>
    </row>
    <row r="43">
      <c r="A43" s="31" t="inlineStr">
        <is>
          <t>Distribución</t>
        </is>
      </c>
      <c r="B43" s="31" t="inlineStr">
        <is>
          <t>Tejas Cubiertas e Ingeniería</t>
        </is>
      </c>
      <c r="C43" s="31" t="inlineStr">
        <is>
          <t>Recambio</t>
        </is>
      </c>
      <c r="D43" s="31" t="inlineStr">
        <is>
          <t>Edwar Salazar</t>
        </is>
      </c>
      <c r="E43" s="31" t="inlineStr">
        <is>
          <t>Colombia</t>
        </is>
      </c>
      <c r="F43" s="31" t="inlineStr">
        <is>
          <t>KingWall</t>
        </is>
      </c>
      <c r="G43" s="27" t="n">
        <v>2405</v>
      </c>
      <c r="H43" s="36" t="n">
        <v>79598</v>
      </c>
      <c r="I43" s="31" t="inlineStr">
        <is>
          <t>Pending</t>
        </is>
      </c>
      <c r="J43" s="82" t="n"/>
      <c r="K43" s="83" t="n"/>
      <c r="L43" s="58">
        <f>IF(J43="","",H43*J43)</f>
        <v/>
      </c>
      <c r="M43" s="128">
        <f>IF(AND(A43="Industrial",I43&lt;&gt;"Closed Won",B43&lt;&gt;"Others"),IF($C$4="m2",G43,H43)+(1000-ROW())/1000000,"")</f>
        <v/>
      </c>
      <c r="N43" s="129">
        <f>IF(AND(A43="Distribución",I43&lt;&gt;"Closed Won",B43&lt;&gt;"Others"),IF($C$4="m2",G43,H43)+(1000-ROW())/1000000,"")</f>
        <v/>
      </c>
      <c r="O43" s="129">
        <f>IF(AND(A43="Industrial",B43&lt;&gt;"Others"),G43+(1000-ROW())/1000000,"")</f>
        <v/>
      </c>
      <c r="P43" s="129">
        <f>IF(AND(A43="Distribución",B43&lt;&gt;"Others"),G43+(1000-ROW())/1000000,"")</f>
        <v/>
      </c>
    </row>
    <row r="44">
      <c r="A44" s="31" t="inlineStr">
        <is>
          <t>Distribución</t>
        </is>
      </c>
      <c r="B44" s="31" t="inlineStr">
        <is>
          <t>Técnica Industrial Duarte</t>
        </is>
      </c>
      <c r="C44" s="31" t="inlineStr">
        <is>
          <t>Stock</t>
        </is>
      </c>
      <c r="D44" s="31" t="inlineStr">
        <is>
          <t>María Yelitza Calderón</t>
        </is>
      </c>
      <c r="E44" s="31" t="inlineStr">
        <is>
          <t>Venezuela</t>
        </is>
      </c>
      <c r="F44" s="31" t="inlineStr">
        <is>
          <t>KingFrigo</t>
        </is>
      </c>
      <c r="G44" s="27" t="n">
        <v>2000</v>
      </c>
      <c r="H44" s="36" t="n">
        <v>60000</v>
      </c>
      <c r="I44" s="31" t="inlineStr">
        <is>
          <t>Closed Won</t>
        </is>
      </c>
      <c r="J44" s="82" t="n"/>
      <c r="K44" s="83" t="n"/>
      <c r="L44" s="58">
        <f>IF(J44="","",H44*J44)</f>
        <v/>
      </c>
      <c r="M44" s="128">
        <f>IF(AND(A44="Industrial",I44&lt;&gt;"Closed Won",B44&lt;&gt;"Others"),IF($C$4="m2",G44,H44)+(1000-ROW())/1000000,"")</f>
        <v/>
      </c>
      <c r="N44" s="129">
        <f>IF(AND(A44="Distribución",I44&lt;&gt;"Closed Won",B44&lt;&gt;"Others"),IF($C$4="m2",G44,H44)+(1000-ROW())/1000000,"")</f>
        <v/>
      </c>
      <c r="O44" s="129">
        <f>IF(AND(A44="Industrial",B44&lt;&gt;"Others"),G44+(1000-ROW())/1000000,"")</f>
        <v/>
      </c>
      <c r="P44" s="129">
        <f>IF(AND(A44="Distribución",B44&lt;&gt;"Others"),G44+(1000-ROW())/1000000,"")</f>
        <v/>
      </c>
    </row>
    <row r="45">
      <c r="A45" s="31" t="n"/>
      <c r="B45" s="31" t="n"/>
      <c r="C45" s="31" t="n"/>
      <c r="D45" s="31" t="n"/>
      <c r="E45" s="31" t="n"/>
      <c r="F45" s="31" t="n"/>
      <c r="G45" s="27" t="n"/>
      <c r="H45" s="36" t="n"/>
      <c r="I45" s="31" t="n"/>
      <c r="J45" s="82" t="n"/>
      <c r="K45" s="83" t="n"/>
      <c r="L45" s="58">
        <f>IF(J45="","",H45*J45)</f>
        <v/>
      </c>
      <c r="M45" s="128">
        <f>IF(AND(A45="Industrial",I45&lt;&gt;"Closed Won",B45&lt;&gt;"Others"),IF($C$4="m2",G45,H45)+(1000-ROW())/1000000,"")</f>
        <v/>
      </c>
      <c r="N45" s="129">
        <f>IF(AND(A45="Distribución",I45&lt;&gt;"Closed Won",B45&lt;&gt;"Others"),IF($C$4="m2",G45,H45)+(1000-ROW())/1000000,"")</f>
        <v/>
      </c>
      <c r="O45" s="129">
        <f>IF(AND(A45="Industrial",B45&lt;&gt;"Others"),G45+(1000-ROW())/1000000,"")</f>
        <v/>
      </c>
      <c r="P45" s="129">
        <f>IF(AND(A45="Distribución",B45&lt;&gt;"Others"),G45+(1000-ROW())/1000000,"")</f>
        <v/>
      </c>
    </row>
    <row r="46">
      <c r="A46" s="31" t="n"/>
      <c r="B46" s="31" t="n"/>
      <c r="C46" s="31" t="n"/>
      <c r="D46" s="31" t="n"/>
      <c r="E46" s="31" t="n"/>
      <c r="F46" s="31" t="n"/>
      <c r="G46" s="27" t="n"/>
      <c r="H46" s="36" t="n"/>
      <c r="I46" s="31" t="n"/>
      <c r="J46" s="82" t="n"/>
      <c r="K46" s="83" t="n"/>
      <c r="L46" s="58">
        <f>IF(J46="","",H46*J46)</f>
        <v/>
      </c>
      <c r="M46" s="128">
        <f>IF(AND(A46="Industrial",I46&lt;&gt;"Closed Won",B46&lt;&gt;"Others"),IF($C$4="m2",G46,H46)+(1000-ROW())/1000000,"")</f>
        <v/>
      </c>
      <c r="N46" s="129">
        <f>IF(AND(A46="Distribución",I46&lt;&gt;"Closed Won",B46&lt;&gt;"Others"),IF($C$4="m2",G46,H46)+(1000-ROW())/1000000,"")</f>
        <v/>
      </c>
      <c r="O46" s="129">
        <f>IF(AND(A46="Industrial",B46&lt;&gt;"Others"),G46+(1000-ROW())/1000000,"")</f>
        <v/>
      </c>
      <c r="P46" s="129">
        <f>IF(AND(A46="Distribución",B46&lt;&gt;"Others"),G46+(1000-ROW())/1000000,"")</f>
        <v/>
      </c>
    </row>
    <row r="47">
      <c r="A47" s="31" t="n"/>
      <c r="B47" s="31" t="n"/>
      <c r="C47" s="31" t="n"/>
      <c r="D47" s="31" t="n"/>
      <c r="E47" s="31" t="n"/>
      <c r="F47" s="31" t="n"/>
      <c r="G47" s="27" t="n"/>
      <c r="H47" s="36" t="n"/>
      <c r="I47" s="31" t="n"/>
      <c r="J47" s="82" t="n"/>
      <c r="K47" s="83" t="n"/>
      <c r="L47" s="58">
        <f>IF(J47="","",H47*J47)</f>
        <v/>
      </c>
      <c r="M47" s="128">
        <f>IF(AND(A47="Industrial",I47&lt;&gt;"Closed Won",B47&lt;&gt;"Others"),IF($C$4="m2",G47,H47)+(1000-ROW())/1000000,"")</f>
        <v/>
      </c>
      <c r="N47" s="129">
        <f>IF(AND(A47="Distribución",I47&lt;&gt;"Closed Won",B47&lt;&gt;"Others"),IF($C$4="m2",G47,H47)+(1000-ROW())/1000000,"")</f>
        <v/>
      </c>
      <c r="O47" s="129">
        <f>IF(AND(A47="Industrial",B47&lt;&gt;"Others"),G47+(1000-ROW())/1000000,"")</f>
        <v/>
      </c>
      <c r="P47" s="129">
        <f>IF(AND(A47="Distribución",B47&lt;&gt;"Others"),G47+(1000-ROW())/1000000,"")</f>
        <v/>
      </c>
    </row>
    <row r="48">
      <c r="A48" s="31" t="n"/>
      <c r="B48" s="31" t="n"/>
      <c r="C48" s="31" t="n"/>
      <c r="D48" s="31" t="n"/>
      <c r="E48" s="31" t="n"/>
      <c r="F48" s="31" t="n"/>
      <c r="G48" s="27" t="n"/>
      <c r="H48" s="36" t="n"/>
      <c r="I48" s="31" t="n"/>
      <c r="J48" s="82" t="n"/>
      <c r="K48" s="83" t="n"/>
      <c r="L48" s="58">
        <f>IF(J48="","",H48*J48)</f>
        <v/>
      </c>
      <c r="M48" s="128">
        <f>IF(AND(A48="Industrial",I48&lt;&gt;"Closed Won",B48&lt;&gt;"Others"),IF($C$4="m2",G48,H48)+(1000-ROW())/1000000,"")</f>
        <v/>
      </c>
      <c r="N48" s="129">
        <f>IF(AND(A48="Distribución",I48&lt;&gt;"Closed Won",B48&lt;&gt;"Others"),IF($C$4="m2",G48,H48)+(1000-ROW())/1000000,"")</f>
        <v/>
      </c>
      <c r="O48" s="129">
        <f>IF(AND(A48="Industrial",B48&lt;&gt;"Others"),G48+(1000-ROW())/1000000,"")</f>
        <v/>
      </c>
      <c r="P48" s="129">
        <f>IF(AND(A48="Distribución",B48&lt;&gt;"Others"),G48+(1000-ROW())/1000000,"")</f>
        <v/>
      </c>
    </row>
    <row r="49">
      <c r="A49" s="31" t="n"/>
      <c r="B49" s="31" t="n"/>
      <c r="C49" s="31" t="n"/>
      <c r="D49" s="31" t="n"/>
      <c r="E49" s="31" t="n"/>
      <c r="F49" s="31" t="n"/>
      <c r="G49" s="27" t="n"/>
      <c r="H49" s="36" t="n"/>
      <c r="I49" s="31" t="n"/>
      <c r="J49" s="82" t="n"/>
      <c r="K49" s="83" t="n"/>
      <c r="L49" s="58">
        <f>IF(J49="","",H49*J49)</f>
        <v/>
      </c>
      <c r="M49" s="128">
        <f>IF(AND(A49="Industrial",I49&lt;&gt;"Closed Won",B49&lt;&gt;"Others"),IF($C$4="m2",G49,H49)+(1000-ROW())/1000000,"")</f>
        <v/>
      </c>
      <c r="N49" s="129">
        <f>IF(AND(A49="Distribución",I49&lt;&gt;"Closed Won",B49&lt;&gt;"Others"),IF($C$4="m2",G49,H49)+(1000-ROW())/1000000,"")</f>
        <v/>
      </c>
      <c r="O49" s="129">
        <f>IF(AND(A49="Industrial",B49&lt;&gt;"Others"),G49+(1000-ROW())/1000000,"")</f>
        <v/>
      </c>
      <c r="P49" s="129">
        <f>IF(AND(A49="Distribución",B49&lt;&gt;"Others"),G49+(1000-ROW())/1000000,"")</f>
        <v/>
      </c>
    </row>
    <row r="50">
      <c r="A50" s="31" t="n"/>
      <c r="B50" s="31" t="n"/>
      <c r="C50" s="31" t="n"/>
      <c r="D50" s="31" t="n"/>
      <c r="E50" s="31" t="n"/>
      <c r="F50" s="31" t="n"/>
      <c r="G50" s="27" t="n"/>
      <c r="H50" s="36" t="n"/>
      <c r="I50" s="31" t="n"/>
      <c r="J50" s="82" t="n"/>
      <c r="K50" s="83" t="n"/>
      <c r="L50" s="58">
        <f>IF(J50="","",H50*J50)</f>
        <v/>
      </c>
      <c r="M50" s="128">
        <f>IF(AND(A50="Industrial",I50&lt;&gt;"Closed Won",B50&lt;&gt;"Others"),IF($C$4="m2",G50,H50)+(1000-ROW())/1000000,"")</f>
        <v/>
      </c>
      <c r="N50" s="129">
        <f>IF(AND(A50="Distribución",I50&lt;&gt;"Closed Won",B50&lt;&gt;"Others"),IF($C$4="m2",G50,H50)+(1000-ROW())/1000000,"")</f>
        <v/>
      </c>
      <c r="O50" s="129">
        <f>IF(AND(A50="Industrial",B50&lt;&gt;"Others"),G50+(1000-ROW())/1000000,"")</f>
        <v/>
      </c>
      <c r="P50" s="129">
        <f>IF(AND(A50="Distribución",B50&lt;&gt;"Others"),G50+(1000-ROW())/1000000,"")</f>
        <v/>
      </c>
    </row>
    <row r="51">
      <c r="A51" s="31" t="n"/>
      <c r="B51" s="31" t="n"/>
      <c r="C51" s="31" t="n"/>
      <c r="D51" s="31" t="n"/>
      <c r="E51" s="31" t="n"/>
      <c r="F51" s="31" t="n"/>
      <c r="G51" s="27" t="n"/>
      <c r="H51" s="36" t="n"/>
      <c r="I51" s="31" t="n"/>
      <c r="J51" s="82" t="n"/>
      <c r="K51" s="83" t="n"/>
      <c r="L51" s="58">
        <f>IF(J51="","",H51*J51)</f>
        <v/>
      </c>
      <c r="M51" s="128">
        <f>IF(AND(A51="Industrial",I51&lt;&gt;"Closed Won",B51&lt;&gt;"Others"),IF($C$4="m2",G51,H51)+(1000-ROW())/1000000,"")</f>
        <v/>
      </c>
      <c r="N51" s="129">
        <f>IF(AND(A51="Distribución",I51&lt;&gt;"Closed Won",B51&lt;&gt;"Others"),IF($C$4="m2",G51,H51)+(1000-ROW())/1000000,"")</f>
        <v/>
      </c>
      <c r="O51" s="129">
        <f>IF(AND(A51="Industrial",B51&lt;&gt;"Others"),G51+(1000-ROW())/1000000,"")</f>
        <v/>
      </c>
      <c r="P51" s="129">
        <f>IF(AND(A51="Distribución",B51&lt;&gt;"Others"),G51+(1000-ROW())/1000000,"")</f>
        <v/>
      </c>
    </row>
    <row r="52">
      <c r="A52" s="31" t="n"/>
      <c r="B52" s="31" t="n"/>
      <c r="C52" s="31" t="n"/>
      <c r="D52" s="31" t="n"/>
      <c r="E52" s="31" t="n"/>
      <c r="F52" s="31" t="n"/>
      <c r="G52" s="27" t="n"/>
      <c r="H52" s="36" t="n"/>
      <c r="I52" s="31" t="n"/>
      <c r="J52" s="82" t="n"/>
      <c r="K52" s="83" t="n"/>
      <c r="L52" s="58">
        <f>IF(J52="","",H52*J52)</f>
        <v/>
      </c>
      <c r="M52" s="128">
        <f>IF(AND(A52="Industrial",I52&lt;&gt;"Closed Won",B52&lt;&gt;"Others"),IF($C$4="m2",G52,H52)+(1000-ROW())/1000000,"")</f>
        <v/>
      </c>
      <c r="N52" s="129">
        <f>IF(AND(A52="Distribución",I52&lt;&gt;"Closed Won",B52&lt;&gt;"Others"),IF($C$4="m2",G52,H52)+(1000-ROW())/1000000,"")</f>
        <v/>
      </c>
      <c r="O52" s="129">
        <f>IF(AND(A52="Industrial",B52&lt;&gt;"Others"),G52+(1000-ROW())/1000000,"")</f>
        <v/>
      </c>
      <c r="P52" s="129">
        <f>IF(AND(A52="Distribución",B52&lt;&gt;"Others"),G52+(1000-ROW())/1000000,"")</f>
        <v/>
      </c>
    </row>
    <row r="53">
      <c r="A53" s="31" t="n"/>
      <c r="B53" s="31" t="n"/>
      <c r="C53" s="31" t="n"/>
      <c r="D53" s="31" t="n"/>
      <c r="E53" s="31" t="n"/>
      <c r="F53" s="31" t="n"/>
      <c r="G53" s="27" t="n"/>
      <c r="H53" s="36" t="n"/>
      <c r="I53" s="31" t="n"/>
      <c r="J53" s="82" t="n"/>
      <c r="K53" s="83" t="n"/>
      <c r="L53" s="58">
        <f>IF(J53="","",H53*J53)</f>
        <v/>
      </c>
      <c r="M53" s="128">
        <f>IF(AND(A53="Industrial",I53&lt;&gt;"Closed Won",B53&lt;&gt;"Others"),IF($C$4="m2",G53,H53)+(1000-ROW())/1000000,"")</f>
        <v/>
      </c>
      <c r="N53" s="129">
        <f>IF(AND(A53="Distribución",I53&lt;&gt;"Closed Won",B53&lt;&gt;"Others"),IF($C$4="m2",G53,H53)+(1000-ROW())/1000000,"")</f>
        <v/>
      </c>
      <c r="O53" s="129">
        <f>IF(AND(A53="Industrial",B53&lt;&gt;"Others"),G53+(1000-ROW())/1000000,"")</f>
        <v/>
      </c>
      <c r="P53" s="129">
        <f>IF(AND(A53="Distribución",B53&lt;&gt;"Others"),G53+(1000-ROW())/1000000,"")</f>
        <v/>
      </c>
    </row>
    <row r="54">
      <c r="A54" s="31" t="n"/>
      <c r="B54" s="31" t="n"/>
      <c r="C54" s="31" t="n"/>
      <c r="D54" s="31" t="n"/>
      <c r="E54" s="31" t="n"/>
      <c r="F54" s="31" t="n"/>
      <c r="G54" s="27" t="n"/>
      <c r="H54" s="36" t="n"/>
      <c r="I54" s="31" t="n"/>
      <c r="J54" s="82" t="n"/>
      <c r="K54" s="83" t="n"/>
      <c r="L54" s="58">
        <f>IF(J54="","",H54*J54)</f>
        <v/>
      </c>
      <c r="M54" s="128">
        <f>IF(AND(A54="Industrial",I54&lt;&gt;"Closed Won",B54&lt;&gt;"Others"),IF($C$4="m2",G54,H54)+(1000-ROW())/1000000,"")</f>
        <v/>
      </c>
      <c r="N54" s="129">
        <f>IF(AND(A54="Distribución",I54&lt;&gt;"Closed Won",B54&lt;&gt;"Others"),IF($C$4="m2",G54,H54)+(1000-ROW())/1000000,"")</f>
        <v/>
      </c>
      <c r="O54" s="129">
        <f>IF(AND(A54="Industrial",B54&lt;&gt;"Others"),G54+(1000-ROW())/1000000,"")</f>
        <v/>
      </c>
      <c r="P54" s="129">
        <f>IF(AND(A54="Distribución",B54&lt;&gt;"Others"),G54+(1000-ROW())/1000000,"")</f>
        <v/>
      </c>
    </row>
    <row r="55">
      <c r="A55" s="31" t="n"/>
      <c r="B55" s="31" t="n"/>
      <c r="C55" s="31" t="n"/>
      <c r="D55" s="31" t="n"/>
      <c r="E55" s="31" t="n"/>
      <c r="F55" s="31" t="n"/>
      <c r="G55" s="27" t="n"/>
      <c r="H55" s="36" t="n"/>
      <c r="I55" s="31" t="n"/>
      <c r="J55" s="82" t="n"/>
      <c r="K55" s="83" t="n"/>
      <c r="L55" s="58">
        <f>IF(J55="","",H55*J55)</f>
        <v/>
      </c>
      <c r="M55" s="128">
        <f>IF(AND(A55="Industrial",I55&lt;&gt;"Closed Won",B55&lt;&gt;"Others"),IF($C$4="m2",G55,H55)+(1000-ROW())/1000000,"")</f>
        <v/>
      </c>
      <c r="N55" s="129">
        <f>IF(AND(A55="Distribución",I55&lt;&gt;"Closed Won",B55&lt;&gt;"Others"),IF($C$4="m2",G55,H55)+(1000-ROW())/1000000,"")</f>
        <v/>
      </c>
      <c r="O55" s="129">
        <f>IF(AND(A55="Industrial",B55&lt;&gt;"Others"),G55+(1000-ROW())/1000000,"")</f>
        <v/>
      </c>
      <c r="P55" s="129">
        <f>IF(AND(A55="Distribución",B55&lt;&gt;"Others"),G55+(1000-ROW())/1000000,"")</f>
        <v/>
      </c>
    </row>
    <row r="56">
      <c r="A56" s="31" t="n"/>
      <c r="B56" s="31" t="n"/>
      <c r="C56" s="31" t="n"/>
      <c r="D56" s="31" t="n"/>
      <c r="E56" s="31" t="n"/>
      <c r="F56" s="31" t="n"/>
      <c r="G56" s="27" t="n"/>
      <c r="H56" s="36" t="n"/>
      <c r="I56" s="31" t="n"/>
      <c r="J56" s="82" t="n"/>
      <c r="K56" s="83" t="n"/>
      <c r="L56" s="58">
        <f>IF(J56="","",H56*J56)</f>
        <v/>
      </c>
      <c r="M56" s="128">
        <f>IF(AND(A56="Industrial",I56&lt;&gt;"Closed Won",B56&lt;&gt;"Others"),IF($C$4="m2",G56,H56)+(1000-ROW())/1000000,"")</f>
        <v/>
      </c>
      <c r="N56" s="129">
        <f>IF(AND(A56="Distribución",I56&lt;&gt;"Closed Won",B56&lt;&gt;"Others"),IF($C$4="m2",G56,H56)+(1000-ROW())/1000000,"")</f>
        <v/>
      </c>
      <c r="O56" s="129">
        <f>IF(AND(A56="Industrial",B56&lt;&gt;"Others"),G56+(1000-ROW())/1000000,"")</f>
        <v/>
      </c>
      <c r="P56" s="129">
        <f>IF(AND(A56="Distribución",B56&lt;&gt;"Others"),G56+(1000-ROW())/1000000,"")</f>
        <v/>
      </c>
    </row>
    <row r="57">
      <c r="A57" s="31" t="n"/>
      <c r="B57" s="31" t="n"/>
      <c r="C57" s="31" t="n"/>
      <c r="D57" s="31" t="n"/>
      <c r="E57" s="31" t="n"/>
      <c r="F57" s="31" t="n"/>
      <c r="G57" s="27" t="n"/>
      <c r="H57" s="36" t="n"/>
      <c r="I57" s="31" t="n"/>
      <c r="J57" s="82" t="n"/>
      <c r="K57" s="83" t="n"/>
      <c r="L57" s="58">
        <f>IF(J57="","",H57*J57)</f>
        <v/>
      </c>
      <c r="M57" s="128">
        <f>IF(AND(A57="Industrial",I57&lt;&gt;"Closed Won",B57&lt;&gt;"Others"),IF($C$4="m2",G57,H57)+(1000-ROW())/1000000,"")</f>
        <v/>
      </c>
      <c r="N57" s="129">
        <f>IF(AND(A57="Distribución",I57&lt;&gt;"Closed Won",B57&lt;&gt;"Others"),IF($C$4="m2",G57,H57)+(1000-ROW())/1000000,"")</f>
        <v/>
      </c>
      <c r="O57" s="129">
        <f>IF(AND(A57="Industrial",B57&lt;&gt;"Others"),G57+(1000-ROW())/1000000,"")</f>
        <v/>
      </c>
      <c r="P57" s="129">
        <f>IF(AND(A57="Distribución",B57&lt;&gt;"Others"),G57+(1000-ROW())/1000000,"")</f>
        <v/>
      </c>
    </row>
    <row r="58">
      <c r="A58" s="31" t="n"/>
      <c r="B58" s="31" t="n"/>
      <c r="C58" s="31" t="n"/>
      <c r="D58" s="31" t="n"/>
      <c r="E58" s="31" t="n"/>
      <c r="F58" s="31" t="n"/>
      <c r="G58" s="27" t="n"/>
      <c r="H58" s="36" t="n"/>
      <c r="I58" s="31" t="n"/>
      <c r="J58" s="82" t="n"/>
      <c r="K58" s="83" t="n"/>
      <c r="L58" s="58">
        <f>IF(J58="","",H58*J58)</f>
        <v/>
      </c>
      <c r="M58" s="128">
        <f>IF(AND(A58="Industrial",I58&lt;&gt;"Closed Won",B58&lt;&gt;"Others"),IF($C$4="m2",G58,H58)+(1000-ROW())/1000000,"")</f>
        <v/>
      </c>
      <c r="N58" s="129">
        <f>IF(AND(A58="Distribución",I58&lt;&gt;"Closed Won",B58&lt;&gt;"Others"),IF($C$4="m2",G58,H58)+(1000-ROW())/1000000,"")</f>
        <v/>
      </c>
      <c r="O58" s="129">
        <f>IF(AND(A58="Industrial",B58&lt;&gt;"Others"),G58+(1000-ROW())/1000000,"")</f>
        <v/>
      </c>
      <c r="P58" s="129">
        <f>IF(AND(A58="Distribución",B58&lt;&gt;"Others"),G58+(1000-ROW())/1000000,"")</f>
        <v/>
      </c>
    </row>
    <row r="59">
      <c r="A59" s="31" t="n"/>
      <c r="B59" s="31" t="n"/>
      <c r="C59" s="31" t="n"/>
      <c r="D59" s="31" t="n"/>
      <c r="E59" s="31" t="n"/>
      <c r="F59" s="31" t="n"/>
      <c r="G59" s="27" t="n"/>
      <c r="H59" s="36" t="n"/>
      <c r="I59" s="31" t="n"/>
      <c r="J59" s="82" t="n"/>
      <c r="K59" s="83" t="n"/>
      <c r="L59" s="58">
        <f>IF(J59="","",H59*J59)</f>
        <v/>
      </c>
      <c r="M59" s="128">
        <f>IF(AND(A59="Industrial",I59&lt;&gt;"Closed Won",B59&lt;&gt;"Others"),IF($C$4="m2",G59,H59)+(1000-ROW())/1000000,"")</f>
        <v/>
      </c>
      <c r="N59" s="129">
        <f>IF(AND(A59="Distribución",I59&lt;&gt;"Closed Won",B59&lt;&gt;"Others"),IF($C$4="m2",G59,H59)+(1000-ROW())/1000000,"")</f>
        <v/>
      </c>
      <c r="O59" s="129">
        <f>IF(AND(A59="Industrial",B59&lt;&gt;"Others"),G59+(1000-ROW())/1000000,"")</f>
        <v/>
      </c>
      <c r="P59" s="129">
        <f>IF(AND(A59="Distribución",B59&lt;&gt;"Others"),G59+(1000-ROW())/1000000,"")</f>
        <v/>
      </c>
    </row>
    <row r="60">
      <c r="A60" s="31" t="n"/>
      <c r="B60" s="31" t="n"/>
      <c r="C60" s="31" t="n"/>
      <c r="D60" s="31" t="n"/>
      <c r="E60" s="31" t="n"/>
      <c r="F60" s="31" t="n"/>
      <c r="G60" s="27" t="n"/>
      <c r="H60" s="36" t="n"/>
      <c r="I60" s="31" t="n"/>
      <c r="J60" s="82" t="n"/>
      <c r="K60" s="83" t="n"/>
      <c r="L60" s="58">
        <f>IF(J60="","",H60*J60)</f>
        <v/>
      </c>
      <c r="M60" s="128">
        <f>IF(AND(A60="Industrial",I60&lt;&gt;"Closed Won",B60&lt;&gt;"Others"),IF($C$4="m2",G60,H60)+(1000-ROW())/1000000,"")</f>
        <v/>
      </c>
      <c r="N60" s="129">
        <f>IF(AND(A60="Distribución",I60&lt;&gt;"Closed Won",B60&lt;&gt;"Others"),IF($C$4="m2",G60,H60)+(1000-ROW())/1000000,"")</f>
        <v/>
      </c>
      <c r="O60" s="129">
        <f>IF(AND(A60="Industrial",B60&lt;&gt;"Others"),G60+(1000-ROW())/1000000,"")</f>
        <v/>
      </c>
      <c r="P60" s="129">
        <f>IF(AND(A60="Distribución",B60&lt;&gt;"Others"),G60+(1000-ROW())/1000000,"")</f>
        <v/>
      </c>
    </row>
    <row r="61">
      <c r="A61" s="31" t="n"/>
      <c r="B61" s="31" t="n"/>
      <c r="C61" s="31" t="n"/>
      <c r="D61" s="31" t="n"/>
      <c r="E61" s="31" t="n"/>
      <c r="F61" s="31" t="n"/>
      <c r="G61" s="27" t="n"/>
      <c r="H61" s="36" t="n"/>
      <c r="I61" s="31" t="n"/>
      <c r="J61" s="82" t="n"/>
      <c r="K61" s="83" t="n"/>
      <c r="L61" s="58">
        <f>IF(J61="","",H61*J61)</f>
        <v/>
      </c>
      <c r="M61" s="128">
        <f>IF(AND(A61="Industrial",I61&lt;&gt;"Closed Won",B61&lt;&gt;"Others"),IF($C$4="m2",G61,H61)+(1000-ROW())/1000000,"")</f>
        <v/>
      </c>
      <c r="N61" s="129">
        <f>IF(AND(A61="Distribución",I61&lt;&gt;"Closed Won",B61&lt;&gt;"Others"),IF($C$4="m2",G61,H61)+(1000-ROW())/1000000,"")</f>
        <v/>
      </c>
      <c r="O61" s="129">
        <f>IF(AND(A61="Industrial",B61&lt;&gt;"Others"),G61+(1000-ROW())/1000000,"")</f>
        <v/>
      </c>
      <c r="P61" s="129">
        <f>IF(AND(A61="Distribución",B61&lt;&gt;"Others"),G61+(1000-ROW())/1000000,"")</f>
        <v/>
      </c>
    </row>
    <row r="62">
      <c r="A62" s="31" t="n"/>
      <c r="B62" s="31" t="n"/>
      <c r="C62" s="31" t="n"/>
      <c r="D62" s="31" t="n"/>
      <c r="E62" s="31" t="n"/>
      <c r="F62" s="31" t="n"/>
      <c r="G62" s="27" t="n"/>
      <c r="H62" s="36" t="n"/>
      <c r="I62" s="31" t="n"/>
      <c r="J62" s="82" t="n"/>
      <c r="K62" s="83" t="n"/>
      <c r="L62" s="58">
        <f>IF(J62="","",H62*J62)</f>
        <v/>
      </c>
      <c r="M62" s="128">
        <f>IF(AND(A62="Industrial",I62&lt;&gt;"Closed Won",B62&lt;&gt;"Others"),IF($C$4="m2",G62,H62)+(1000-ROW())/1000000,"")</f>
        <v/>
      </c>
      <c r="N62" s="129">
        <f>IF(AND(A62="Distribución",I62&lt;&gt;"Closed Won",B62&lt;&gt;"Others"),IF($C$4="m2",G62,H62)+(1000-ROW())/1000000,"")</f>
        <v/>
      </c>
      <c r="O62" s="129">
        <f>IF(AND(A62="Industrial",B62&lt;&gt;"Others"),G62+(1000-ROW())/1000000,"")</f>
        <v/>
      </c>
      <c r="P62" s="129">
        <f>IF(AND(A62="Distribución",B62&lt;&gt;"Others"),G62+(1000-ROW())/1000000,"")</f>
        <v/>
      </c>
    </row>
    <row r="63">
      <c r="A63" s="31" t="n"/>
      <c r="B63" s="31" t="n"/>
      <c r="C63" s="31" t="n"/>
      <c r="D63" s="31" t="n"/>
      <c r="E63" s="31" t="n"/>
      <c r="F63" s="31" t="n"/>
      <c r="G63" s="27" t="n"/>
      <c r="H63" s="36" t="n"/>
      <c r="I63" s="31" t="n"/>
      <c r="J63" s="82" t="n"/>
      <c r="K63" s="83" t="n"/>
      <c r="L63" s="58">
        <f>IF(J63="","",H63*J63)</f>
        <v/>
      </c>
      <c r="M63" s="128">
        <f>IF(AND(A63="Industrial",I63&lt;&gt;"Closed Won",B63&lt;&gt;"Others"),IF($C$4="m2",G63,H63)+(1000-ROW())/1000000,"")</f>
        <v/>
      </c>
      <c r="N63" s="129">
        <f>IF(AND(A63="Distribución",I63&lt;&gt;"Closed Won",B63&lt;&gt;"Others"),IF($C$4="m2",G63,H63)+(1000-ROW())/1000000,"")</f>
        <v/>
      </c>
      <c r="O63" s="129">
        <f>IF(AND(A63="Industrial",B63&lt;&gt;"Others"),G63+(1000-ROW())/1000000,"")</f>
        <v/>
      </c>
      <c r="P63" s="129">
        <f>IF(AND(A63="Distribución",B63&lt;&gt;"Others"),G63+(1000-ROW())/1000000,"")</f>
        <v/>
      </c>
    </row>
    <row r="64">
      <c r="A64" s="31" t="n"/>
      <c r="B64" s="31" t="n"/>
      <c r="C64" s="31" t="n"/>
      <c r="D64" s="31" t="n"/>
      <c r="E64" s="31" t="n"/>
      <c r="F64" s="31" t="n"/>
      <c r="G64" s="27" t="n"/>
      <c r="H64" s="36" t="n"/>
      <c r="I64" s="31" t="n"/>
      <c r="J64" s="82" t="n"/>
      <c r="K64" s="83" t="n"/>
      <c r="L64" s="58">
        <f>IF(J64="","",H64*J64)</f>
        <v/>
      </c>
      <c r="M64" s="128">
        <f>IF(AND(A64="Industrial",I64&lt;&gt;"Closed Won",B64&lt;&gt;"Others"),IF($C$4="m2",G64,H64)+(1000-ROW())/1000000,"")</f>
        <v/>
      </c>
      <c r="N64" s="129">
        <f>IF(AND(A64="Distribución",I64&lt;&gt;"Closed Won",B64&lt;&gt;"Others"),IF($C$4="m2",G64,H64)+(1000-ROW())/1000000,"")</f>
        <v/>
      </c>
      <c r="O64" s="129">
        <f>IF(AND(A64="Industrial",B64&lt;&gt;"Others"),G64+(1000-ROW())/1000000,"")</f>
        <v/>
      </c>
      <c r="P64" s="129">
        <f>IF(AND(A64="Distribución",B64&lt;&gt;"Others"),G64+(1000-ROW())/1000000,"")</f>
        <v/>
      </c>
    </row>
    <row r="65">
      <c r="A65" s="31" t="n"/>
      <c r="B65" s="31" t="n"/>
      <c r="C65" s="31" t="n"/>
      <c r="D65" s="31" t="n"/>
      <c r="E65" s="31" t="n"/>
      <c r="F65" s="31" t="n"/>
      <c r="G65" s="27" t="n"/>
      <c r="H65" s="36" t="n"/>
      <c r="I65" s="31" t="n"/>
      <c r="J65" s="82" t="n"/>
      <c r="K65" s="83" t="n"/>
      <c r="L65" s="58">
        <f>IF(J65="","",H65*J65)</f>
        <v/>
      </c>
      <c r="M65" s="128">
        <f>IF(AND(A65="Industrial",I65&lt;&gt;"Closed Won",B65&lt;&gt;"Others"),IF($C$4="m2",G65,H65)+(1000-ROW())/1000000,"")</f>
        <v/>
      </c>
      <c r="N65" s="129">
        <f>IF(AND(A65="Distribución",I65&lt;&gt;"Closed Won",B65&lt;&gt;"Others"),IF($C$4="m2",G65,H65)+(1000-ROW())/1000000,"")</f>
        <v/>
      </c>
      <c r="O65" s="129">
        <f>IF(AND(A65="Industrial",B65&lt;&gt;"Others"),G65+(1000-ROW())/1000000,"")</f>
        <v/>
      </c>
      <c r="P65" s="129">
        <f>IF(AND(A65="Distribución",B65&lt;&gt;"Others"),G65+(1000-ROW())/1000000,"")</f>
        <v/>
      </c>
    </row>
    <row r="66">
      <c r="A66" s="31" t="n"/>
      <c r="B66" s="31" t="n"/>
      <c r="C66" s="31" t="n"/>
      <c r="D66" s="31" t="n"/>
      <c r="E66" s="31" t="n"/>
      <c r="F66" s="31" t="n"/>
      <c r="G66" s="27" t="n"/>
      <c r="H66" s="36" t="n"/>
      <c r="I66" s="31" t="n"/>
      <c r="J66" s="82" t="n"/>
      <c r="K66" s="83" t="n"/>
      <c r="L66" s="58">
        <f>IF(J66="","",H66*J66)</f>
        <v/>
      </c>
      <c r="M66" s="128">
        <f>IF(AND(A66="Industrial",I66&lt;&gt;"Closed Won",B66&lt;&gt;"Others"),IF($C$4="m2",G66,H66)+(1000-ROW())/1000000,"")</f>
        <v/>
      </c>
      <c r="N66" s="129">
        <f>IF(AND(A66="Distribución",I66&lt;&gt;"Closed Won",B66&lt;&gt;"Others"),IF($C$4="m2",G66,H66)+(1000-ROW())/1000000,"")</f>
        <v/>
      </c>
      <c r="O66" s="129">
        <f>IF(AND(A66="Industrial",B66&lt;&gt;"Others"),G66+(1000-ROW())/1000000,"")</f>
        <v/>
      </c>
      <c r="P66" s="129">
        <f>IF(AND(A66="Distribución",B66&lt;&gt;"Others"),G66+(1000-ROW())/1000000,"")</f>
        <v/>
      </c>
    </row>
    <row r="67">
      <c r="A67" s="31" t="n"/>
      <c r="B67" s="31" t="n"/>
      <c r="C67" s="31" t="n"/>
      <c r="D67" s="31" t="n"/>
      <c r="E67" s="31" t="n"/>
      <c r="F67" s="31" t="n"/>
      <c r="G67" s="27" t="n"/>
      <c r="H67" s="36" t="n"/>
      <c r="I67" s="31" t="n"/>
      <c r="J67" s="82" t="n"/>
      <c r="K67" s="83" t="n"/>
      <c r="L67" s="58">
        <f>IF(J67="","",H67*J67)</f>
        <v/>
      </c>
      <c r="M67" s="128">
        <f>IF(AND(A67="Industrial",I67&lt;&gt;"Closed Won",B67&lt;&gt;"Others"),IF($C$4="m2",G67,H67)+(1000-ROW())/1000000,"")</f>
        <v/>
      </c>
      <c r="N67" s="129">
        <f>IF(AND(A67="Distribución",I67&lt;&gt;"Closed Won",B67&lt;&gt;"Others"),IF($C$4="m2",G67,H67)+(1000-ROW())/1000000,"")</f>
        <v/>
      </c>
      <c r="O67" s="129">
        <f>IF(AND(A67="Industrial",B67&lt;&gt;"Others"),G67+(1000-ROW())/1000000,"")</f>
        <v/>
      </c>
      <c r="P67" s="129">
        <f>IF(AND(A67="Distribución",B67&lt;&gt;"Others"),G67+(1000-ROW())/1000000,"")</f>
        <v/>
      </c>
    </row>
  </sheetData>
  <autoFilter ref="A6:P67"/>
  <pageMargins left="0.75" right="0.75" top="1" bottom="1" header="0.511811023622047" footer="0.51181102362204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tabColor rgb="FF00EDB6"/>
    <outlinePr summaryBelow="1" summaryRight="1"/>
    <pageSetUpPr/>
  </sheetPr>
  <dimension ref="A1:F26"/>
  <sheetViews>
    <sheetView showGridLines="0" zoomScaleNormal="100" workbookViewId="0">
      <selection activeCell="A1" sqref="A1"/>
    </sheetView>
  </sheetViews>
  <sheetFormatPr baseColWidth="10" defaultColWidth="8.7109375" defaultRowHeight="15"/>
  <cols>
    <col width="4" customWidth="1" min="1" max="1"/>
    <col width="24" customWidth="1" min="2" max="2"/>
    <col width="80" customWidth="1" min="3" max="3"/>
    <col width="70" customWidth="1" min="4" max="4"/>
    <col width="12" customWidth="1" min="5" max="5"/>
    <col width="30" customWidth="1" min="6" max="6"/>
  </cols>
  <sheetData>
    <row r="1" ht="18" customHeight="1">
      <c r="A1" s="2" t="inlineStr">
        <is>
          <t>Validaciones de datos – deck original vs motor</t>
        </is>
      </c>
    </row>
    <row r="2">
      <c r="A2" s="24" t="inlineStr">
        <is>
          <t>Inconsistencias detectadas al reconstruir el reporte (revisar con la fuente)</t>
        </is>
      </c>
    </row>
    <row r="3">
      <c r="A3" s="86" t="inlineStr">
        <is>
          <t>Puntos abiertos (deben ser 0 antes del deck final):</t>
        </is>
      </c>
      <c r="E3" s="86">
        <f>COUNTIF(E5:E40,"Abierto")</f>
        <v/>
      </c>
    </row>
    <row r="4" ht="30" customHeight="1">
      <c r="A4" s="25" t="inlineStr">
        <is>
          <t>#</t>
        </is>
      </c>
      <c r="B4" s="25" t="inlineStr">
        <is>
          <t>Slide</t>
        </is>
      </c>
      <c r="C4" s="25" t="inlineStr">
        <is>
          <t>Hallazgo</t>
        </is>
      </c>
      <c r="D4" s="25" t="inlineStr">
        <is>
          <t>Tratamiento en esta versión</t>
        </is>
      </c>
      <c r="E4" s="87" t="inlineStr">
        <is>
          <t>Estado</t>
        </is>
      </c>
      <c r="F4" s="87" t="inlineStr">
        <is>
          <t>Cifra validada / responsable</t>
        </is>
      </c>
    </row>
    <row r="5" ht="24.75" customHeight="1">
      <c r="A5" s="32" t="n">
        <v>1</v>
      </c>
      <c r="B5" s="88" t="inlineStr">
        <is>
          <t>Commercial Overview</t>
        </is>
      </c>
      <c r="C5" s="88" t="inlineStr">
        <is>
          <t>Order Intake rotulado "August" y YTD "1,293,5K m²"; la tabla OI muestra Sep = 146.446 y YTD = 1.239.541.</t>
        </is>
      </c>
      <c r="D5" s="88" t="inlineStr">
        <is>
          <t>Se rotula Sep-26 y se usa 1.239.541 (YoY +25,4%).</t>
        </is>
      </c>
      <c r="E5" s="98" t="inlineStr">
        <is>
          <t>Cerrado</t>
        </is>
      </c>
      <c r="F5" s="98" t="n"/>
    </row>
    <row r="6">
      <c r="A6" s="32" t="n">
        <v>2</v>
      </c>
      <c r="B6" s="88" t="inlineStr">
        <is>
          <t>Commercial Overview</t>
        </is>
      </c>
      <c r="C6" s="88" t="inlineStr">
        <is>
          <t>Ventas: solo se reportan % (YoY, MoM); no hay PY ni mes anterior absolutos.</t>
        </is>
      </c>
      <c r="D6" s="88" t="inlineStr">
        <is>
          <t>PY y Ago derivados del %; marcados como input a reemplazar.</t>
        </is>
      </c>
      <c r="E6" s="98" t="inlineStr">
        <is>
          <t>Cerrado</t>
        </is>
      </c>
      <c r="F6" s="98" t="n"/>
    </row>
    <row r="7">
      <c r="A7" s="32" t="n">
        <v>3</v>
      </c>
      <c r="B7" s="88" t="inlineStr">
        <is>
          <t>Order Intake / Backlog</t>
        </is>
      </c>
      <c r="C7" s="88" t="inlineStr">
        <is>
          <t>Tarjetas de margen dicen "August 2026".</t>
        </is>
      </c>
      <c r="D7" s="88" t="inlineStr">
        <is>
          <t>Se rotulan Sep-26.</t>
        </is>
      </c>
      <c r="E7" s="98" t="inlineStr">
        <is>
          <t>Cerrado</t>
        </is>
      </c>
      <c r="F7" s="98" t="n"/>
    </row>
    <row r="8" ht="24.75" customHeight="1">
      <c r="A8" s="32" t="n">
        <v>4</v>
      </c>
      <c r="B8" s="88" t="inlineStr">
        <is>
          <t>Performed / Forecast</t>
        </is>
      </c>
      <c r="C8" s="88" t="inlineStr">
        <is>
          <t>Ingreso Jul = 13.652.194 (duplica Jun). Con el valor del gráfico (11.718.909) el acumulado YTD cuadra con 130.176 COP MM.</t>
        </is>
      </c>
      <c r="D8" s="88" t="inlineStr">
        <is>
          <t>Jul corregido → cierre forecast 172.899 COP MM (+31,8% YoY) en lugar de 174.832 (+33%).</t>
        </is>
      </c>
      <c r="E8" s="98" t="inlineStr">
        <is>
          <t>Cerrado</t>
        </is>
      </c>
      <c r="F8" s="98" t="n"/>
    </row>
    <row r="9" ht="24.75" customHeight="1">
      <c r="A9" s="32" t="n">
        <v>5</v>
      </c>
      <c r="B9" s="88" t="inlineStr">
        <is>
          <t>Performed / Forecast</t>
        </is>
      </c>
      <c r="C9" s="88" t="inlineStr">
        <is>
          <t>Acumulado volumen Ene = 86.671 (debe ser 104.582) y acumulado ingreso Ene = 7.958.800 (es el PY).</t>
        </is>
      </c>
      <c r="D9" s="88" t="inlineStr">
        <is>
          <t>Acumulados recalculados por fórmula.</t>
        </is>
      </c>
      <c r="E9" s="98" t="inlineStr">
        <is>
          <t>Cerrado</t>
        </is>
      </c>
      <c r="F9" s="98" t="n"/>
    </row>
    <row r="10">
      <c r="A10" s="32" t="n">
        <v>6</v>
      </c>
      <c r="B10" s="88" t="inlineStr">
        <is>
          <t>Order Intake</t>
        </is>
      </c>
      <c r="C10" s="88" t="inlineStr">
        <is>
          <t>Gráfico OI Abr = 13.170 COP MM vs tabla Performed 12.270.</t>
        </is>
      </c>
      <c r="D10" s="88" t="inlineStr">
        <is>
          <t>Se usa 12.270 (cuadra con YTD 130.176). Validar.</t>
        </is>
      </c>
      <c r="E10" s="98" t="inlineStr">
        <is>
          <t>Cerrado</t>
        </is>
      </c>
      <c r="F10" s="98" t="n"/>
    </row>
    <row r="11">
      <c r="A11" s="32" t="n">
        <v>7</v>
      </c>
      <c r="B11" s="88" t="inlineStr">
        <is>
          <t>Backlog</t>
        </is>
      </c>
      <c r="C11" s="88" t="inlineStr">
        <is>
          <t>Ingreso PY = 10.617 (duplica Single Skin PY).</t>
        </is>
      </c>
      <c r="D11" s="88" t="inlineStr">
        <is>
          <t>Se usa 33.248 COP MM (gráfico de progresión Sep-25).</t>
        </is>
      </c>
      <c r="E11" s="98" t="inlineStr">
        <is>
          <t>Cerrado</t>
        </is>
      </c>
      <c r="F11" s="98" t="n"/>
    </row>
    <row r="12">
      <c r="A12" s="32" t="n">
        <v>8</v>
      </c>
      <c r="B12" s="88" t="inlineStr">
        <is>
          <t>Key Projects Industrial</t>
        </is>
      </c>
      <c r="C12" s="88" t="inlineStr">
        <is>
          <t>Suma de filas m² = 662.771 vs total reportado 658.771 (USD cuadra: 21.038.017).</t>
        </is>
      </c>
      <c r="D12" s="88" t="inlineStr">
        <is>
          <t>Se usa suma por fórmula; validar m² de alguna fila.</t>
        </is>
      </c>
      <c r="E12" s="98" t="inlineStr">
        <is>
          <t>Cerrado</t>
        </is>
      </c>
      <c r="F12" s="98" t="n"/>
    </row>
    <row r="13">
      <c r="A13" s="32" t="n">
        <v>9</v>
      </c>
      <c r="B13" s="88" t="inlineStr">
        <is>
          <t>Key Projects Industrial</t>
        </is>
      </c>
      <c r="C13" s="88" t="inlineStr">
        <is>
          <t>Se reportan 38 proyectos; la tabla tiene 26 filas + "Others".</t>
        </is>
      </c>
      <c r="D13" s="88" t="inlineStr">
        <is>
          <t>Se asume que "Others" agrupa 12 proyectos.</t>
        </is>
      </c>
      <c r="E13" s="98" t="inlineStr">
        <is>
          <t>Cerrado</t>
        </is>
      </c>
      <c r="F13" s="98" t="n"/>
    </row>
    <row r="14">
      <c r="A14" s="32" t="n">
        <v>10</v>
      </c>
      <c r="B14" s="88" t="inlineStr">
        <is>
          <t>Commercial Overview</t>
        </is>
      </c>
      <c r="C14" s="88" t="inlineStr">
        <is>
          <t>Top pedidos con encabezado "USD (mm)" y valores $306/$236/$173.</t>
        </is>
      </c>
      <c r="D14" s="88" t="inlineStr">
        <is>
          <t>Se conserva la unidad del deck; validar (¿USD miles?).</t>
        </is>
      </c>
      <c r="E14" s="98" t="inlineStr">
        <is>
          <t>Cerrado</t>
        </is>
      </c>
      <c r="F14" s="98" t="n"/>
    </row>
    <row r="15" ht="24.75" customHeight="1">
      <c r="A15" s="32" t="n">
        <v>11</v>
      </c>
      <c r="B15" s="88" t="inlineStr">
        <is>
          <t>Por canal (03 y 05)</t>
        </is>
      </c>
      <c r="C15" s="88" t="inlineStr">
        <is>
          <t>No hay OI/backlog mensual por canal ni PY/GM por canal en el deck.</t>
        </is>
      </c>
      <c r="D15" s="88" t="inlineStr">
        <is>
          <t>YTD y backlog por canal se toman de las tablas RSM; CM/PY/GM quedan como input.</t>
        </is>
      </c>
      <c r="E15" s="98" t="inlineStr">
        <is>
          <t>Cerrado</t>
        </is>
      </c>
      <c r="F15" s="98" t="n"/>
    </row>
    <row r="16">
      <c r="A16" s="67" t="n">
        <v>12</v>
      </c>
      <c r="B16" s="89" t="inlineStr">
        <is>
          <t>Overview / OI / Performed</t>
        </is>
      </c>
      <c r="C16" s="89" t="inlineStr">
        <is>
          <t>OI YTD: 1.239.541 m² (tabla OI) vs 1.228.503 m² (Performed, junio corregido).</t>
        </is>
      </c>
      <c r="D16" s="89" t="inlineStr">
        <is>
          <t>Definir una sola cifra y alinear slides 3–4 y 8.</t>
        </is>
      </c>
      <c r="E16" s="98" t="inlineStr">
        <is>
          <t>Abierto</t>
        </is>
      </c>
      <c r="F16" s="98" t="n"/>
    </row>
    <row r="17">
      <c r="A17" s="67" t="n">
        <v>13</v>
      </c>
      <c r="B17" s="89" t="inlineStr">
        <is>
          <t>Overview</t>
        </is>
      </c>
      <c r="C17" s="89" t="inlineStr">
        <is>
          <t>Top pedidos del mes en "USD (mm)" con nota "to be validated".</t>
        </is>
      </c>
      <c r="D17" s="89" t="inlineStr">
        <is>
          <t>Confirmar unidad y retirar la nota.</t>
        </is>
      </c>
      <c r="E17" s="98" t="inlineStr">
        <is>
          <t>Abierto</t>
        </is>
      </c>
      <c r="F17" s="98" t="n"/>
    </row>
    <row r="18">
      <c r="A18" s="67" t="n">
        <v>14</v>
      </c>
      <c r="B18" s="89" t="inlineStr">
        <is>
          <t>Overview</t>
        </is>
      </c>
      <c r="C18" s="89" t="inlineStr">
        <is>
          <t>Ventas PY y agosto derivadas de %.</t>
        </is>
      </c>
      <c r="D18" s="89" t="inlineStr">
        <is>
          <t>Reemplazar con dato real del ERP.</t>
        </is>
      </c>
      <c r="E18" s="98" t="inlineStr">
        <is>
          <t>Abierto</t>
        </is>
      </c>
      <c r="F18" s="98" t="n"/>
    </row>
    <row r="19">
      <c r="A19" s="67" t="n">
        <v>15</v>
      </c>
      <c r="B19" s="89" t="inlineStr">
        <is>
          <t>Top Opportunities</t>
        </is>
      </c>
      <c r="C19" s="89" t="inlineStr">
        <is>
          <t>Fecha Construplan (nov vs dic) y % Ménsula fuera de la base.</t>
        </is>
      </c>
      <c r="D19" s="89" t="inlineStr">
        <is>
          <t>Confirmar en hoja Pipeline.</t>
        </is>
      </c>
      <c r="E19" s="98" t="inlineStr">
        <is>
          <t>Abierto</t>
        </is>
      </c>
      <c r="F19" s="98" t="n"/>
    </row>
    <row r="20">
      <c r="A20" s="67" t="n">
        <v>16</v>
      </c>
      <c r="B20" s="89" t="inlineStr">
        <is>
          <t>Backlog canal</t>
        </is>
      </c>
      <c r="C20" s="89" t="inlineStr">
        <is>
          <t>Otras Geografías: 135.403 (ERP) vs 136.712 (suma RSM).</t>
        </is>
      </c>
      <c r="D20" s="89" t="inlineStr">
        <is>
          <t>Confirmar fuente oficial.</t>
        </is>
      </c>
      <c r="E20" s="98" t="inlineStr">
        <is>
          <t>Abierto</t>
        </is>
      </c>
      <c r="F20" s="98" t="n"/>
    </row>
    <row r="21">
      <c r="A21" s="130" t="n">
        <v>17</v>
      </c>
      <c r="B21" s="89" t="inlineStr">
        <is>
          <t>Commercial Overview / OI</t>
        </is>
      </c>
      <c r="C21" s="89" t="inlineStr">
        <is>
          <t>OI YTD PY en 02_OI F7 = 112.088 (falta un dígito) y 01_Overview F6 = 988.103 (YTD a septiembre).</t>
        </is>
      </c>
      <c r="D21" s="89" t="inlineStr">
        <is>
          <t>Se usa 1.120.898 (06_Perf_Forecast C28): YoY YTD +24,9%.</t>
        </is>
      </c>
      <c r="E21" s="131" t="inlineStr">
        <is>
          <t>Cerrado</t>
        </is>
      </c>
      <c r="F21" s="98" t="n"/>
    </row>
    <row r="22">
      <c r="A22" s="89" t="n">
        <v>18</v>
      </c>
      <c r="B22" s="89" t="inlineStr">
        <is>
          <t>Commercial Overview</t>
        </is>
      </c>
      <c r="C22" s="89" t="inlineStr">
        <is>
          <t>Ventas YTD PY (01_Overview F5 = 1.120.888) da +7% YoY; el deck muestra +18%.</t>
        </is>
      </c>
      <c r="D22" s="89" t="inlineStr">
        <is>
          <t>Confirmar PY de ventas YTD con el ERP.</t>
        </is>
      </c>
      <c r="E22" s="89" t="inlineStr">
        <is>
          <t>Abierto</t>
        </is>
      </c>
    </row>
    <row r="23">
      <c r="A23" s="89" t="n">
        <v>19</v>
      </c>
      <c r="B23" s="89" t="inlineStr">
        <is>
          <t>Lost Business</t>
        </is>
      </c>
      <c r="C23" s="89" t="inlineStr">
        <is>
          <t>Total m² perdidos en el slide = 10.437,45; la suma de las filas es 10.576,45.</t>
        </is>
      </c>
      <c r="D23" s="89" t="inlineStr">
        <is>
          <t>El slide usa la suma por fórmula (20_Lost_Business).</t>
        </is>
      </c>
      <c r="E23" s="89" t="inlineStr">
        <is>
          <t>Cerrado</t>
        </is>
      </c>
    </row>
    <row r="24">
      <c r="A24" s="89" t="n">
        <v>20</v>
      </c>
      <c r="B24" s="89" t="inlineStr">
        <is>
          <t>OI por región</t>
        </is>
      </c>
      <c r="C24" s="89" t="inlineStr">
        <is>
          <t>No hay OI por país en la fuente: Otras Geografías se repartió con el mix de ventas por país y 'Others' con el pipeline (CA vs Perú).</t>
        </is>
      </c>
      <c r="D24" s="89" t="inlineStr">
        <is>
          <t>Reemplazar 19_OI_Regiones B7:C12 con OI real por país.</t>
        </is>
      </c>
      <c r="E24" s="89" t="inlineStr">
        <is>
          <t>Abierto</t>
        </is>
      </c>
    </row>
    <row r="25">
      <c r="A25" s="89" t="n">
        <v>21</v>
      </c>
      <c r="B25" s="89" t="inlineStr">
        <is>
          <t>Canales / segmentos</t>
        </is>
      </c>
      <c r="C25" s="89" t="inlineStr">
        <is>
          <t>% Construcción / Refrigeración es un supuesto inicial (70% / 30%).</t>
        </is>
      </c>
      <c r="D25" s="89" t="inlineStr">
        <is>
          <t>Asignar el % real en 22_Canales_Segmentos B5 (o por métrica, fila 24).</t>
        </is>
      </c>
      <c r="E25" s="89" t="inlineStr">
        <is>
          <t>Abierto</t>
        </is>
      </c>
    </row>
    <row r="26">
      <c r="A26" s="89" t="n">
        <v>22</v>
      </c>
      <c r="B26" s="89" t="inlineStr">
        <is>
          <t>RSM by groups</t>
        </is>
      </c>
      <c r="C26" s="89" t="inlineStr">
        <is>
          <t>Detalle RSM (ventas 1.058.016 m², OI 1.269.124 m²) no cuadra con el IMP a octubre (ventas 1.199.504, OI 1.400.088): hojas 09–14 parecen cortadas a septiembre.</t>
        </is>
      </c>
      <c r="D26" s="89" t="inlineStr">
        <is>
          <t>Actualizar hojas 09–14 a octubre; el budget de Junta usa el mismo mes de corte.</t>
        </is>
      </c>
      <c r="E26" s="89" t="inlineStr">
        <is>
          <t>Abierto</t>
        </is>
      </c>
    </row>
  </sheetData>
  <conditionalFormatting sqref="E5:E21">
    <cfRule type="expression" priority="2" dxfId="4">
      <formula>E5="Abierto"</formula>
    </cfRule>
    <cfRule type="expression" priority="3" dxfId="3">
      <formula>E5="Cerrado"</formula>
    </cfRule>
  </conditionalFormatting>
  <dataValidations count="1">
    <dataValidation sqref="E5:E21" showDropDown="0" showInputMessage="0" showErrorMessage="0" allowBlank="1" type="list">
      <formula1>"Abierto,Cerrado"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tabColor rgb="FF00EDB6"/>
    <outlinePr summaryBelow="1" summaryRight="1"/>
    <pageSetUpPr/>
  </sheetPr>
  <dimension ref="A1:N20"/>
  <sheetViews>
    <sheetView showGridLines="0" zoomScaleNormal="100" workbookViewId="0">
      <selection activeCell="A1" sqref="A1"/>
    </sheetView>
  </sheetViews>
  <sheetFormatPr baseColWidth="10" defaultColWidth="8.7109375" defaultRowHeight="15"/>
  <cols>
    <col width="4" customWidth="1" min="1" max="1"/>
    <col width="30" customWidth="1" min="2" max="2"/>
    <col width="34" customWidth="1" min="3" max="3"/>
    <col width="20" customWidth="1" min="4" max="4"/>
    <col width="11" customWidth="1" min="5" max="6"/>
    <col width="9" customWidth="1" min="7" max="7"/>
    <col width="46" customWidth="1" min="8" max="8"/>
    <col width="12" customWidth="1" min="9" max="10"/>
    <col width="16" customWidth="1" min="11" max="11"/>
    <col width="30" customWidth="1" min="12" max="12"/>
    <col width="11" customWidth="1" min="13" max="13"/>
    <col width="26" customWidth="1" min="14" max="14"/>
  </cols>
  <sheetData>
    <row r="1" ht="18" customHeight="1">
      <c r="A1" s="7" t="inlineStr">
        <is>
          <t>16 · Iniciativas estratégicas (agosto) – semáforo de seguimiento</t>
        </is>
      </c>
    </row>
    <row r="2">
      <c r="A2" s="8" t="inlineStr">
        <is>
          <t>Slides 15–16. Una fila por iniciativa. Diligenciar meta y resultado numérico para que el % de avance y el estado sugerido se calculen; el estado final se elige en la lista.</t>
        </is>
      </c>
    </row>
    <row r="4" ht="31.5" customHeight="1">
      <c r="A4" s="9" t="inlineStr">
        <is>
          <t>#</t>
        </is>
      </c>
      <c r="B4" s="9" t="inlineStr">
        <is>
          <t>Iniciativa</t>
        </is>
      </c>
      <c r="C4" s="9" t="inlineStr">
        <is>
          <t>Compromiso / meta (presentado en agosto)</t>
        </is>
      </c>
      <c r="D4" s="9" t="inlineStr">
        <is>
          <t>KPI de medición</t>
        </is>
      </c>
      <c r="E4" s="9" t="inlineStr">
        <is>
          <t>Meta (número)</t>
        </is>
      </c>
      <c r="F4" s="9" t="inlineStr">
        <is>
          <t>Resultado sep (número)</t>
        </is>
      </c>
      <c r="G4" s="9" t="inlineStr">
        <is>
          <t>% avance</t>
        </is>
      </c>
      <c r="H4" s="9" t="inlineStr">
        <is>
          <t>Resultado sep (texto para slide)</t>
        </is>
      </c>
      <c r="I4" s="9" t="inlineStr">
        <is>
          <t>Estado sugerido</t>
        </is>
      </c>
      <c r="J4" s="9" t="inlineStr">
        <is>
          <t>Estado final</t>
        </is>
      </c>
      <c r="K4" s="9" t="inlineStr">
        <is>
          <t>Responsable</t>
        </is>
      </c>
      <c r="L4" s="9" t="inlineStr">
        <is>
          <t>Próximo paso</t>
        </is>
      </c>
      <c r="M4" s="9" t="inlineStr">
        <is>
          <t>Fecha</t>
        </is>
      </c>
      <c r="N4" s="9" t="inlineStr">
        <is>
          <t>Comentarios</t>
        </is>
      </c>
    </row>
    <row r="5" ht="48" customHeight="1">
      <c r="A5" s="67" t="n">
        <v>1</v>
      </c>
      <c r="B5" s="10" t="inlineStr">
        <is>
          <t>Inteligencia competitiva / market share</t>
        </is>
      </c>
      <c r="C5" s="98" t="n"/>
      <c r="D5" s="98" t="n"/>
      <c r="E5" s="132" t="n"/>
      <c r="F5" s="132" t="n"/>
      <c r="G5" s="15">
        <f>IF(OR(E5="",F5="",E5=0),"",F5/E5)</f>
        <v/>
      </c>
      <c r="H5" s="98" t="n"/>
      <c r="I5" s="16">
        <f>IF(G5="","Definir",IF(G5&gt;=0.9,"Verde",IF(G5&gt;=0.7,"Amarillo","Rojo")))</f>
        <v/>
      </c>
      <c r="J5" s="98" t="n"/>
      <c r="K5" s="98" t="n"/>
      <c r="L5" s="98" t="n"/>
      <c r="M5" s="17" t="n"/>
      <c r="N5" s="98" t="n"/>
    </row>
    <row r="6" ht="48" customHeight="1">
      <c r="A6" s="67" t="n">
        <v>2</v>
      </c>
      <c r="B6" s="10" t="inlineStr">
        <is>
          <t>Nuevos productos</t>
        </is>
      </c>
      <c r="C6" s="98" t="n"/>
      <c r="D6" s="98" t="n"/>
      <c r="E6" s="132" t="n"/>
      <c r="F6" s="132" t="n"/>
      <c r="G6" s="15">
        <f>IF(OR(E6="",F6="",E6=0),"",F6/E6)</f>
        <v/>
      </c>
      <c r="H6" s="98" t="n"/>
      <c r="I6" s="16">
        <f>IF(G6="","Definir",IF(G6&gt;=0.9,"Verde",IF(G6&gt;=0.7,"Amarillo","Rojo")))</f>
        <v/>
      </c>
      <c r="J6" s="98" t="n"/>
      <c r="K6" s="98" t="n"/>
      <c r="L6" s="98" t="n"/>
      <c r="M6" s="17" t="n"/>
      <c r="N6" s="98" t="n"/>
    </row>
    <row r="7" ht="48" customHeight="1">
      <c r="A7" s="67" t="n">
        <v>3</v>
      </c>
      <c r="B7" s="10" t="inlineStr">
        <is>
          <t>Venezuela y Ecuador</t>
        </is>
      </c>
      <c r="C7" s="98" t="n"/>
      <c r="D7" s="98" t="n"/>
      <c r="E7" s="132" t="n"/>
      <c r="F7" s="132" t="n"/>
      <c r="G7" s="15">
        <f>IF(OR(E7="",F7="",E7=0),"",F7/E7)</f>
        <v/>
      </c>
      <c r="H7" s="98" t="inlineStr">
        <is>
          <t>Evento Binacional Cúcuta; pipeline VE: CIA Caribe Mar USD 360k (especificación), Prosein + Remar USD 1,47 M; 1 proyecto VE ganado. Cuenta Ecuador por debajo de budget</t>
        </is>
      </c>
      <c r="I7" s="16">
        <f>IF(G7="","Definir",IF(G7&gt;=0.9,"Verde",IF(G7&gt;=0.7,"Amarillo","Rojo")))</f>
        <v/>
      </c>
      <c r="J7" s="98" t="n"/>
      <c r="K7" s="98" t="n"/>
      <c r="L7" s="98" t="n"/>
      <c r="M7" s="17" t="n"/>
      <c r="N7" s="98" t="n"/>
    </row>
    <row r="8" ht="48" customHeight="1">
      <c r="A8" s="67" t="n">
        <v>4</v>
      </c>
      <c r="B8" s="10" t="inlineStr">
        <is>
          <t>Distribución</t>
        </is>
      </c>
      <c r="C8" s="98" t="n"/>
      <c r="D8" s="98" t="n"/>
      <c r="E8" s="132" t="n"/>
      <c r="F8" s="132" t="n"/>
      <c r="G8" s="15">
        <f>IF(OR(E8="",F8="",E8=0),"",F8/E8)</f>
        <v/>
      </c>
      <c r="H8" s="98" t="inlineStr">
        <is>
          <t>91% del budget de ventas YTD; backlog 64,5k m² (+27% YoY) con margen 30% (+3 pp)</t>
        </is>
      </c>
      <c r="I8" s="16">
        <f>IF(G8="","Definir",IF(G8&gt;=0.9,"Verde",IF(G8&gt;=0.7,"Amarillo","Rojo")))</f>
        <v/>
      </c>
      <c r="J8" s="98" t="n"/>
      <c r="K8" s="98" t="n"/>
      <c r="L8" s="98" t="n"/>
      <c r="M8" s="17" t="n"/>
      <c r="N8" s="98" t="n"/>
    </row>
    <row r="9" ht="48" customHeight="1">
      <c r="A9" s="67" t="n">
        <v>5</v>
      </c>
      <c r="B9" s="10" t="inlineStr">
        <is>
          <t>Single Skin</t>
        </is>
      </c>
      <c r="C9" s="98" t="n"/>
      <c r="D9" s="98" t="n"/>
      <c r="E9" s="132" t="n"/>
      <c r="F9" s="132" t="n"/>
      <c r="G9" s="15">
        <f>IF(OR(E9="",F9="",E9=0),"",F9/E9)</f>
        <v/>
      </c>
      <c r="H9" s="98" t="inlineStr">
        <is>
          <t>OI YTD 106k m² (2,8x PY); sep −4% YoY; backlog 40k m² (3,8x PY)</t>
        </is>
      </c>
      <c r="I9" s="16">
        <f>IF(G9="","Definir",IF(G9&gt;=0.9,"Verde",IF(G9&gt;=0.7,"Amarillo","Rojo")))</f>
        <v/>
      </c>
      <c r="J9" s="98" t="n"/>
      <c r="K9" s="98" t="n"/>
      <c r="L9" s="98" t="n"/>
      <c r="M9" s="17" t="n"/>
      <c r="N9" s="98" t="n"/>
    </row>
    <row r="10" ht="48" customHeight="1">
      <c r="A10" s="67" t="n">
        <v>6</v>
      </c>
      <c r="B10" s="10" t="inlineStr">
        <is>
          <t>Benchmark / línea arquitectónica</t>
        </is>
      </c>
      <c r="C10" s="98" t="n"/>
      <c r="D10" s="98" t="n"/>
      <c r="E10" s="132" t="n"/>
      <c r="F10" s="132" t="n"/>
      <c r="G10" s="15">
        <f>IF(OR(E10="",F10="",E10=0),"",F10/E10)</f>
        <v/>
      </c>
      <c r="H10" s="98" t="inlineStr">
        <is>
          <t>Benchmark OI YTD 5,8k m² (vs 0,4k PY); backlog 4,7k m²; 49,6k m² especificados línea arquitectónica; fachada Smartfit 599 m²</t>
        </is>
      </c>
      <c r="I10" s="16">
        <f>IF(G10="","Definir",IF(G10&gt;=0.9,"Verde",IF(G10&gt;=0.7,"Amarillo","Rojo")))</f>
        <v/>
      </c>
      <c r="J10" s="98" t="n"/>
      <c r="K10" s="98" t="n"/>
      <c r="L10" s="98" t="n"/>
      <c r="M10" s="17" t="n"/>
      <c r="N10" s="98" t="n"/>
    </row>
    <row r="11" ht="48" customHeight="1">
      <c r="A11" s="67" t="n">
        <v>7</v>
      </c>
      <c r="B11" s="10" t="inlineStr">
        <is>
          <t>Top 20 proyectos</t>
        </is>
      </c>
      <c r="C11" s="98" t="n"/>
      <c r="D11" s="98" t="n"/>
      <c r="E11" s="132" t="n"/>
      <c r="F11" s="132" t="n"/>
      <c r="G11" s="15">
        <f>IF(OR(E11="",F11="",E11=0),"",F11/E11)</f>
        <v/>
      </c>
      <c r="H11" s="98" t="inlineStr">
        <is>
          <t>Top 20 abiertos = USD 19,2 M (605k m²), 93% del pipeline abierto; Top 10 ponderado USD 8,3 M</t>
        </is>
      </c>
      <c r="I11" s="16">
        <f>IF(G11="","Definir",IF(G11&gt;=0.9,"Verde",IF(G11&gt;=0.7,"Amarillo","Rojo")))</f>
        <v/>
      </c>
      <c r="J11" s="98" t="n"/>
      <c r="K11" s="98" t="n"/>
      <c r="L11" s="98" t="n"/>
      <c r="M11" s="17" t="n"/>
      <c r="N11" s="98" t="n"/>
    </row>
    <row r="12" ht="48" customHeight="1">
      <c r="A12" s="67" t="n">
        <v>8</v>
      </c>
      <c r="B12" s="10" t="inlineStr">
        <is>
          <t>Cali-Site</t>
        </is>
      </c>
      <c r="C12" s="98" t="n"/>
      <c r="D12" s="98" t="n"/>
      <c r="E12" s="132" t="n"/>
      <c r="F12" s="132" t="n"/>
      <c r="G12" s="15">
        <f>IF(OR(E12="",F12="",E12=0),"",F12/E12)</f>
        <v/>
      </c>
      <c r="H12" s="98" t="inlineStr">
        <is>
          <t>96% del budget de ventas YTD; OI YTD 140k m²; backlog 49k m² (margen 37%)</t>
        </is>
      </c>
      <c r="I12" s="16">
        <f>IF(G12="","Definir",IF(G12&gt;=0.9,"Verde",IF(G12&gt;=0.7,"Amarillo","Rojo")))</f>
        <v/>
      </c>
      <c r="J12" s="98" t="n"/>
      <c r="K12" s="98" t="n"/>
      <c r="L12" s="98" t="n"/>
      <c r="M12" s="17" t="n"/>
      <c r="N12" s="98" t="n"/>
    </row>
    <row r="14">
      <c r="A14" s="5" t="inlineStr">
        <is>
          <t>Resumen</t>
        </is>
      </c>
    </row>
    <row r="15">
      <c r="B15" s="10" t="inlineStr">
        <is>
          <t>Verde</t>
        </is>
      </c>
      <c r="C15" s="67">
        <f>COUNTIF(J5:J12,"Verde")</f>
        <v/>
      </c>
    </row>
    <row r="16">
      <c r="B16" s="10" t="inlineStr">
        <is>
          <t>Amarillo</t>
        </is>
      </c>
      <c r="C16" s="67">
        <f>COUNTIF(J5:J12,"Amarillo")</f>
        <v/>
      </c>
    </row>
    <row r="17">
      <c r="B17" s="10" t="inlineStr">
        <is>
          <t>Rojo</t>
        </is>
      </c>
      <c r="C17" s="67">
        <f>COUNTIF(J5:J12,"Rojo")</f>
        <v/>
      </c>
    </row>
    <row r="18">
      <c r="B18" s="10" t="inlineStr">
        <is>
          <t>Sin definir</t>
        </is>
      </c>
      <c r="C18" s="67">
        <f>8-COUNTIF(J5:J12,"Verde")-COUNTIF(J5:J12,"Amarillo")-COUNTIF(J5:J12,"Rojo")</f>
        <v/>
      </c>
    </row>
    <row r="20">
      <c r="A20" s="8" t="inlineStr">
        <is>
          <t>Regla estado sugerido: avance ≥90% = Verde · 70–89% = Amarillo · &lt;70% = Rojo. Estado final (lista) prevalece en el slide.</t>
        </is>
      </c>
    </row>
  </sheetData>
  <conditionalFormatting sqref="I5:J12">
    <cfRule type="expression" priority="2" dxfId="2">
      <formula>I5="Verde"</formula>
    </cfRule>
    <cfRule type="expression" priority="3" dxfId="1">
      <formula>I5="Amarillo"</formula>
    </cfRule>
    <cfRule type="expression" priority="4" dxfId="0">
      <formula>I5="Rojo"</formula>
    </cfRule>
  </conditionalFormatting>
  <dataValidations count="1">
    <dataValidation sqref="J5:J12" showDropDown="0" showInputMessage="0" showErrorMessage="0" allowBlank="1" type="list">
      <formula1>"Verde,Amarillo,Rojo"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tabColor rgb="FF00EDB6"/>
    <outlinePr summaryBelow="1" summaryRight="1"/>
    <pageSetUpPr/>
  </sheetPr>
  <dimension ref="A1:E22"/>
  <sheetViews>
    <sheetView showGridLines="0" zoomScaleNormal="100" workbookViewId="0">
      <selection activeCell="A1" sqref="A1"/>
    </sheetView>
  </sheetViews>
  <sheetFormatPr baseColWidth="10" defaultColWidth="8.7109375" defaultRowHeight="15"/>
  <cols>
    <col width="12" customWidth="1" min="1" max="1"/>
    <col width="50" customWidth="1" min="2" max="2"/>
    <col width="16" customWidth="1" min="3" max="3"/>
    <col width="11" customWidth="1" min="4" max="4"/>
    <col width="60" customWidth="1" min="5" max="5"/>
  </cols>
  <sheetData>
    <row r="1" ht="18" customHeight="1">
      <c r="A1" s="7" t="inlineStr">
        <is>
          <t>17 · De la actividad al impacto</t>
        </is>
      </c>
    </row>
    <row r="2">
      <c r="A2" s="8" t="inlineStr">
        <is>
          <t>Slide 17. Indicadores de actividad (input) conectados con indicadores de impacto (fórmula cuando existe la fuente; input cuando no).</t>
        </is>
      </c>
    </row>
    <row r="4" ht="31.5" customHeight="1">
      <c r="A4" s="9" t="inlineStr">
        <is>
          <t>Bloque</t>
        </is>
      </c>
      <c r="B4" s="9" t="inlineStr">
        <is>
          <t>Indicador</t>
        </is>
      </c>
      <c r="C4" s="9" t="inlineStr">
        <is>
          <t>Valor</t>
        </is>
      </c>
      <c r="D4" s="9" t="inlineStr">
        <is>
          <t>Unidad</t>
        </is>
      </c>
      <c r="E4" s="9" t="inlineStr">
        <is>
          <t>Fuente / nota</t>
        </is>
      </c>
    </row>
    <row r="5">
      <c r="A5" s="10" t="inlineStr">
        <is>
          <t>Actividad</t>
        </is>
      </c>
      <c r="B5" s="11" t="inlineStr">
        <is>
          <t>Visitas a clientes</t>
        </is>
      </c>
      <c r="C5" s="22">
        <f>'15_Highlights'!B5</f>
        <v/>
      </c>
      <c r="D5" s="11" t="inlineStr">
        <is>
          <t>visitas</t>
        </is>
      </c>
      <c r="E5" s="63" t="inlineStr">
        <is>
          <t>15_Highlights</t>
        </is>
      </c>
    </row>
    <row r="6">
      <c r="A6" s="10" t="inlineStr">
        <is>
          <t>Actividad</t>
        </is>
      </c>
      <c r="B6" s="11" t="inlineStr">
        <is>
          <t>Personas capacitadas</t>
        </is>
      </c>
      <c r="C6" s="22">
        <f>'15_Highlights'!B9</f>
        <v/>
      </c>
      <c r="D6" s="11" t="inlineStr">
        <is>
          <t>personas</t>
        </is>
      </c>
      <c r="E6" s="63" t="inlineStr">
        <is>
          <t>15_Highlights</t>
        </is>
      </c>
    </row>
    <row r="7">
      <c r="A7" s="10" t="inlineStr">
        <is>
          <t>Actividad</t>
        </is>
      </c>
      <c r="B7" s="11" t="inlineStr">
        <is>
          <t>Clientes nuevos</t>
        </is>
      </c>
      <c r="C7" s="22">
        <f>'15_Highlights'!B6</f>
        <v/>
      </c>
      <c r="D7" s="11" t="inlineStr">
        <is>
          <t>clientes</t>
        </is>
      </c>
      <c r="E7" s="63" t="inlineStr">
        <is>
          <t>15_Highlights</t>
        </is>
      </c>
    </row>
    <row r="8">
      <c r="A8" s="10" t="inlineStr">
        <is>
          <t>Actividad</t>
        </is>
      </c>
      <c r="B8" s="11" t="inlineStr">
        <is>
          <t>m² especificados (paneles + arquitectónica)</t>
        </is>
      </c>
      <c r="C8" s="13">
        <f>'15_Highlights'!B14</f>
        <v/>
      </c>
      <c r="D8" s="11" t="inlineStr">
        <is>
          <t>m²</t>
        </is>
      </c>
      <c r="E8" s="63" t="inlineStr">
        <is>
          <t>15_Highlights</t>
        </is>
      </c>
    </row>
    <row r="9">
      <c r="A9" s="10" t="inlineStr">
        <is>
          <t>Impacto</t>
        </is>
      </c>
      <c r="B9" s="11" t="inlineStr">
        <is>
          <t>Oportunidades generadas por la actividad del mes (#)</t>
        </is>
      </c>
      <c r="C9" s="91" t="n"/>
      <c r="D9" s="11" t="inlineStr">
        <is>
          <t>#</t>
        </is>
      </c>
      <c r="E9" s="63" t="inlineStr">
        <is>
          <t>INPUT – CRM: oportunidades creadas en el mes con origen visita/capacitación/especificación</t>
        </is>
      </c>
    </row>
    <row r="10">
      <c r="A10" s="10" t="inlineStr">
        <is>
          <t>Impacto</t>
        </is>
      </c>
      <c r="B10" s="11" t="inlineStr">
        <is>
          <t>Valor de oportunidades generadas (USD)</t>
        </is>
      </c>
      <c r="C10" s="133" t="n"/>
      <c r="D10" s="11" t="inlineStr">
        <is>
          <t>USD</t>
        </is>
      </c>
      <c r="E10" s="63" t="inlineStr">
        <is>
          <t>INPUT – CRM</t>
        </is>
      </c>
    </row>
    <row r="11">
      <c r="A11" s="10" t="inlineStr">
        <is>
          <t>Impacto</t>
        </is>
      </c>
      <c r="B11" s="11" t="inlineStr">
        <is>
          <t>Valor pipeline total (USD)</t>
        </is>
      </c>
      <c r="C11" s="134">
        <f>SUM(Pipeline!H7:H67)</f>
        <v/>
      </c>
      <c r="D11" s="11" t="inlineStr">
        <is>
          <t>USD</t>
        </is>
      </c>
      <c r="E11" s="63" t="inlineStr">
        <is>
          <t>Pipeline</t>
        </is>
      </c>
    </row>
    <row r="12">
      <c r="A12" s="10" t="inlineStr">
        <is>
          <t>Impacto</t>
        </is>
      </c>
      <c r="B12" s="11" t="inlineStr">
        <is>
          <t>Closed won (USD)</t>
        </is>
      </c>
      <c r="C12" s="134">
        <f>SUMIFS(Pipeline!H7:H67,Pipeline!I7:I67,"Closed Won")</f>
        <v/>
      </c>
      <c r="D12" s="11" t="inlineStr">
        <is>
          <t>USD</t>
        </is>
      </c>
      <c r="E12" s="63" t="inlineStr">
        <is>
          <t>Pipeline</t>
        </is>
      </c>
    </row>
    <row r="13">
      <c r="A13" s="10" t="inlineStr">
        <is>
          <t>Impacto</t>
        </is>
      </c>
      <c r="B13" s="11" t="inlineStr">
        <is>
          <t>Conversión (closed won / pipeline)</t>
        </is>
      </c>
      <c r="C13" s="74">
        <f>IFERROR(C12/C11,0)</f>
        <v/>
      </c>
      <c r="D13" s="11" t="inlineStr">
        <is>
          <t>%</t>
        </is>
      </c>
      <c r="E13" s="63" t="inlineStr">
        <is>
          <t>Calculado</t>
        </is>
      </c>
    </row>
    <row r="14">
      <c r="A14" s="10" t="inlineStr">
        <is>
          <t>Impacto</t>
        </is>
      </c>
      <c r="B14" s="11" t="inlineStr">
        <is>
          <t>m² especificados convertidos en pedidos</t>
        </is>
      </c>
      <c r="C14" s="12" t="n"/>
      <c r="D14" s="11" t="inlineStr">
        <is>
          <t>m²</t>
        </is>
      </c>
      <c r="E14" s="63" t="inlineStr">
        <is>
          <t>INPUT</t>
        </is>
      </c>
    </row>
    <row r="15">
      <c r="A15" s="10" t="inlineStr">
        <is>
          <t>Impacto</t>
        </is>
      </c>
      <c r="B15" s="11" t="inlineStr">
        <is>
          <t>Conversión especificación → pedido</t>
        </is>
      </c>
      <c r="C15" s="74">
        <f>IF(C14="","",IFERROR(C14/C8,""))</f>
        <v/>
      </c>
      <c r="D15" s="11" t="inlineStr">
        <is>
          <t>%</t>
        </is>
      </c>
      <c r="E15" s="63" t="inlineStr">
        <is>
          <t>Calculado</t>
        </is>
      </c>
    </row>
    <row r="16">
      <c r="A16" s="10" t="inlineStr">
        <is>
          <t>Impacto</t>
        </is>
      </c>
      <c r="B16" s="11" t="inlineStr">
        <is>
          <t>Pedidos clientes nuevos (m²)</t>
        </is>
      </c>
      <c r="C16" s="13">
        <f>'15_Highlights'!B7</f>
        <v/>
      </c>
      <c r="D16" s="11" t="inlineStr">
        <is>
          <t>m²</t>
        </is>
      </c>
      <c r="E16" s="63" t="inlineStr">
        <is>
          <t>15_Highlights</t>
        </is>
      </c>
    </row>
    <row r="17">
      <c r="A17" s="10" t="inlineStr">
        <is>
          <t>Impacto</t>
        </is>
      </c>
      <c r="B17" s="11" t="inlineStr">
        <is>
          <t>Pedidos clientes nuevos (USD)</t>
        </is>
      </c>
      <c r="C17" s="134">
        <f>'15_Highlights'!B8</f>
        <v/>
      </c>
      <c r="D17" s="11" t="inlineStr">
        <is>
          <t>USD</t>
        </is>
      </c>
      <c r="E17" s="63" t="inlineStr">
        <is>
          <t>15_Highlights</t>
        </is>
      </c>
    </row>
    <row r="18">
      <c r="A18" s="10" t="inlineStr">
        <is>
          <t>Impacto</t>
        </is>
      </c>
      <c r="B18" s="11" t="inlineStr">
        <is>
          <t>Order Intake del mes (m²)</t>
        </is>
      </c>
      <c r="C18" s="13">
        <f>'02_OI'!B7</f>
        <v/>
      </c>
      <c r="D18" s="11" t="inlineStr">
        <is>
          <t>m²</t>
        </is>
      </c>
      <c r="E18" s="63" t="inlineStr">
        <is>
          <t>02_OI</t>
        </is>
      </c>
    </row>
    <row r="19">
      <c r="A19" s="10" t="inlineStr">
        <is>
          <t>Impacto</t>
        </is>
      </c>
      <c r="B19" s="11" t="inlineStr">
        <is>
          <t>Ventas YTD (m²)</t>
        </is>
      </c>
      <c r="C19" s="13">
        <f>RSM_Resumen_Canales!D11</f>
        <v/>
      </c>
      <c r="D19" s="11" t="inlineStr">
        <is>
          <t>m²</t>
        </is>
      </c>
      <c r="E19" s="63" t="inlineStr">
        <is>
          <t>RSM_Resumen_Canales</t>
        </is>
      </c>
    </row>
    <row r="20">
      <c r="A20" s="10" t="inlineStr">
        <is>
          <t>Impacto</t>
        </is>
      </c>
      <c r="B20" s="11" t="inlineStr">
        <is>
          <t>Margen OI del mes</t>
        </is>
      </c>
      <c r="C20" s="19">
        <f>'02_OI'!B12</f>
        <v/>
      </c>
      <c r="D20" s="11" t="inlineStr">
        <is>
          <t>%</t>
        </is>
      </c>
      <c r="E20" s="63" t="inlineStr">
        <is>
          <t>02_OI</t>
        </is>
      </c>
    </row>
    <row r="21">
      <c r="A21" s="10" t="inlineStr">
        <is>
          <t>Ratio</t>
        </is>
      </c>
      <c r="B21" s="11" t="inlineStr">
        <is>
          <t>USD de pipeline por visita</t>
        </is>
      </c>
      <c r="C21" s="135">
        <f>IFERROR(C11/C5,0)</f>
        <v/>
      </c>
      <c r="D21" s="11" t="inlineStr">
        <is>
          <t>USD/visita</t>
        </is>
      </c>
      <c r="E21" s="63" t="inlineStr">
        <is>
          <t>Calculado</t>
        </is>
      </c>
    </row>
    <row r="22">
      <c r="A22" s="10" t="inlineStr">
        <is>
          <t>Ratio</t>
        </is>
      </c>
      <c r="B22" s="11" t="inlineStr">
        <is>
          <t>Oportunidades generadas por cada 10 visitas</t>
        </is>
      </c>
      <c r="C22" s="75">
        <f>IF(C9="","",IFERROR(C9/C5*10,""))</f>
        <v/>
      </c>
      <c r="D22" s="11" t="inlineStr">
        <is>
          <t>#</t>
        </is>
      </c>
      <c r="E22" s="63" t="inlineStr">
        <is>
          <t>Calculado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6.xml><?xml version="1.0" encoding="utf-8"?>
<worksheet xmlns="http://schemas.openxmlformats.org/spreadsheetml/2006/main">
  <sheetPr>
    <tabColor rgb="FF00EDB6"/>
    <outlinePr summaryBelow="1" summaryRight="1"/>
    <pageSetUpPr/>
  </sheetPr>
  <dimension ref="A1:H16"/>
  <sheetViews>
    <sheetView showGridLines="0" zoomScaleNormal="100" workbookViewId="0">
      <selection activeCell="A1" sqref="A1"/>
    </sheetView>
  </sheetViews>
  <sheetFormatPr baseColWidth="10" defaultColWidth="8.7109375" defaultRowHeight="15"/>
  <cols>
    <col width="4" customWidth="1" min="1" max="1"/>
    <col width="60" customWidth="1" min="2" max="2"/>
    <col width="11" customWidth="1" min="3" max="3"/>
    <col width="40" customWidth="1" min="4" max="4"/>
    <col width="18" customWidth="1" min="5" max="5"/>
    <col width="11" customWidth="1" min="6" max="7"/>
    <col width="40" customWidth="1" min="8" max="8"/>
  </cols>
  <sheetData>
    <row r="1" ht="18" customHeight="1">
      <c r="A1" s="7" t="inlineStr">
        <is>
          <t>18 · Decisiones y próximos pasos</t>
        </is>
      </c>
    </row>
    <row r="2">
      <c r="A2" s="8" t="inlineStr">
        <is>
          <t>Slide 19. Filas 1–5 son propuestas derivadas del análisis: confirmar, editar o eliminar. Estado en lista.</t>
        </is>
      </c>
    </row>
    <row r="4" ht="31.5" customHeight="1">
      <c r="A4" s="9" t="inlineStr">
        <is>
          <t>#</t>
        </is>
      </c>
      <c r="B4" s="9" t="inlineStr">
        <is>
          <t>Decisión / acción requerida</t>
        </is>
      </c>
      <c r="C4" s="9" t="inlineStr">
        <is>
          <t>Tipo</t>
        </is>
      </c>
      <c r="D4" s="9" t="inlineStr">
        <is>
          <t>Impacto esperado</t>
        </is>
      </c>
      <c r="E4" s="9" t="inlineStr">
        <is>
          <t>Responsable</t>
        </is>
      </c>
      <c r="F4" s="9" t="inlineStr">
        <is>
          <t>Fecha</t>
        </is>
      </c>
      <c r="G4" s="9" t="inlineStr">
        <is>
          <t>Estado</t>
        </is>
      </c>
      <c r="H4" s="9" t="inlineStr">
        <is>
          <t>Seguimiento / comentario</t>
        </is>
      </c>
    </row>
    <row r="5" ht="25.5" customHeight="1">
      <c r="A5" s="67" t="n">
        <v>1</v>
      </c>
      <c r="B5" s="98" t="inlineStr">
        <is>
          <t>Cubrir territorios Industrial abiertos (Bogotá, cuentas clave) – contratar / reasignar cobertura</t>
        </is>
      </c>
      <c r="C5" s="98" t="inlineStr">
        <is>
          <t>Decisión</t>
        </is>
      </c>
      <c r="D5" s="98" t="inlineStr">
        <is>
          <t>~82k m² de budget hoy sin ventas</t>
        </is>
      </c>
      <c r="E5" s="98" t="n"/>
      <c r="F5" s="17" t="n"/>
      <c r="G5" s="98" t="inlineStr">
        <is>
          <t>Abierta</t>
        </is>
      </c>
      <c r="H5" s="98" t="n"/>
    </row>
    <row r="6" ht="25.5" customHeight="1">
      <c r="A6" s="67" t="n">
        <v>2</v>
      </c>
      <c r="B6" s="98" t="inlineStr">
        <is>
          <t>Plan de recuperación cuentas Ecuador y Costa Rica</t>
        </is>
      </c>
      <c r="C6" s="98" t="inlineStr">
        <is>
          <t>Acción</t>
        </is>
      </c>
      <c r="D6" s="98" t="inlineStr">
        <is>
          <t>Cerrar parte de la brecha de −92k m² vs budget</t>
        </is>
      </c>
      <c r="E6" s="98" t="n"/>
      <c r="F6" s="17" t="n"/>
      <c r="G6" s="98" t="inlineStr">
        <is>
          <t>Abierta</t>
        </is>
      </c>
      <c r="H6" s="98" t="n"/>
    </row>
    <row r="7" ht="25.5" customHeight="1">
      <c r="A7" s="67" t="n">
        <v>3</v>
      </c>
      <c r="B7" s="98" t="inlineStr">
        <is>
          <t>Asegurar cierre Top 10 oportunidades (USD 9,4 M esperados en noviembre)</t>
        </is>
      </c>
      <c r="C7" s="98" t="inlineStr">
        <is>
          <t>Acción</t>
        </is>
      </c>
      <c r="D7" s="98" t="inlineStr">
        <is>
          <t>USD 8,3 M pipeline ponderado</t>
        </is>
      </c>
      <c r="E7" s="98" t="n"/>
      <c r="F7" s="17" t="n"/>
      <c r="G7" s="98" t="inlineStr">
        <is>
          <t>Abierta</t>
        </is>
      </c>
      <c r="H7" s="98" t="n"/>
    </row>
    <row r="8">
      <c r="A8" s="67" t="n">
        <v>4</v>
      </c>
      <c r="B8" s="98" t="inlineStr">
        <is>
          <t>Revisar pricing / mix del backlog Cold Storage</t>
        </is>
      </c>
      <c r="C8" s="98" t="inlineStr">
        <is>
          <t>Acción</t>
        </is>
      </c>
      <c r="D8" s="98" t="inlineStr">
        <is>
          <t>Recuperar margen −10,6 pp vs PY</t>
        </is>
      </c>
      <c r="E8" s="98" t="n"/>
      <c r="F8" s="17" t="n"/>
      <c r="G8" s="98" t="inlineStr">
        <is>
          <t>Abierta</t>
        </is>
      </c>
      <c r="H8" s="98" t="n"/>
    </row>
    <row r="9" ht="25.5" customHeight="1">
      <c r="A9" s="67" t="n">
        <v>5</v>
      </c>
      <c r="B9" s="98" t="inlineStr">
        <is>
          <t>Validar cifra única de OI YTD y cerrar notas pendientes antes del deck final</t>
        </is>
      </c>
      <c r="C9" s="98" t="inlineStr">
        <is>
          <t>Acción</t>
        </is>
      </c>
      <c r="D9" s="98" t="inlineStr">
        <is>
          <t>Una sola cifra validada para la junta</t>
        </is>
      </c>
      <c r="E9" s="98" t="n"/>
      <c r="F9" s="17" t="n"/>
      <c r="G9" s="98" t="inlineStr">
        <is>
          <t>Abierta</t>
        </is>
      </c>
      <c r="H9" s="98" t="n"/>
    </row>
    <row r="10">
      <c r="A10" s="67" t="n">
        <v>6</v>
      </c>
      <c r="B10" s="98" t="n"/>
      <c r="C10" s="98" t="n"/>
      <c r="D10" s="98" t="n"/>
      <c r="E10" s="98" t="n"/>
      <c r="F10" s="17" t="n"/>
      <c r="G10" s="98" t="n"/>
      <c r="H10" s="98" t="n"/>
    </row>
    <row r="11">
      <c r="A11" s="67" t="n">
        <v>7</v>
      </c>
      <c r="B11" s="98" t="n"/>
      <c r="C11" s="98" t="n"/>
      <c r="D11" s="98" t="n"/>
      <c r="E11" s="98" t="n"/>
      <c r="F11" s="17" t="n"/>
      <c r="G11" s="98" t="n"/>
      <c r="H11" s="98" t="n"/>
    </row>
    <row r="12">
      <c r="A12" s="67" t="n">
        <v>8</v>
      </c>
      <c r="B12" s="98" t="n"/>
      <c r="C12" s="98" t="n"/>
      <c r="D12" s="98" t="n"/>
      <c r="E12" s="98" t="n"/>
      <c r="F12" s="17" t="n"/>
      <c r="G12" s="98" t="n"/>
      <c r="H12" s="98" t="n"/>
    </row>
    <row r="13">
      <c r="A13" s="67" t="n">
        <v>9</v>
      </c>
      <c r="B13" s="98" t="n"/>
      <c r="C13" s="98" t="n"/>
      <c r="D13" s="98" t="n"/>
      <c r="E13" s="98" t="n"/>
      <c r="F13" s="17" t="n"/>
      <c r="G13" s="98" t="n"/>
      <c r="H13" s="98" t="n"/>
    </row>
    <row r="14">
      <c r="A14" s="67" t="n">
        <v>10</v>
      </c>
      <c r="B14" s="98" t="n"/>
      <c r="C14" s="98" t="n"/>
      <c r="D14" s="98" t="n"/>
      <c r="E14" s="98" t="n"/>
      <c r="F14" s="17" t="n"/>
      <c r="G14" s="98" t="n"/>
      <c r="H14" s="98" t="n"/>
    </row>
    <row r="16">
      <c r="B16" s="10" t="inlineStr">
        <is>
          <t>Abiertas / en curso</t>
        </is>
      </c>
      <c r="C16" s="67">
        <f>COUNTIF(G5:G14,"Abierta")+COUNTIF(G5:G14,"En curso")</f>
        <v/>
      </c>
    </row>
  </sheetData>
  <dataValidations count="2">
    <dataValidation sqref="G5:G14" showDropDown="0" showInputMessage="0" showErrorMessage="0" allowBlank="1" type="list">
      <formula1>"Abierta,En curso,Cerrada"</formula1>
      <formula2>0</formula2>
    </dataValidation>
    <dataValidation sqref="C5:C14" showDropDown="0" showInputMessage="0" showErrorMessage="0" allowBlank="1" type="list">
      <formula1>"Decisión,Acción"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7.xml><?xml version="1.0" encoding="utf-8"?>
<worksheet xmlns="http://schemas.openxmlformats.org/spreadsheetml/2006/main">
  <sheetPr>
    <tabColor rgb="0000EDB6"/>
    <outlinePr summaryBelow="1" summaryRight="1"/>
    <pageSetUpPr/>
  </sheetPr>
  <dimension ref="A1:Q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8" customWidth="1" min="2" max="2"/>
    <col width="20" customWidth="1" min="3" max="3"/>
    <col width="11" customWidth="1" min="4" max="4"/>
    <col width="14" customWidth="1" min="5" max="5"/>
    <col width="14" customWidth="1" min="6" max="6"/>
    <col width="22" customWidth="1" min="7" max="7"/>
    <col width="46" customWidth="1" min="8" max="8"/>
    <col width="46" customWidth="1" min="9" max="9"/>
    <col width="26" customWidth="1" min="10" max="10"/>
    <col width="28" customWidth="1" min="11" max="11"/>
    <col width="3" customWidth="1" min="12" max="12"/>
    <col width="32" customWidth="1" min="13" max="13"/>
    <col width="18" customWidth="1" min="14" max="14"/>
    <col width="14" customWidth="1" min="15" max="15"/>
    <col width="6" customWidth="1" min="16" max="16"/>
    <col width="9" customWidth="1" min="17" max="17"/>
  </cols>
  <sheetData>
    <row r="1">
      <c r="A1" s="101" t="inlineStr">
        <is>
          <t>20 · Lost Business – negocios perdidos del mes</t>
        </is>
      </c>
    </row>
    <row r="2">
      <c r="A2" s="102" t="inlineStr">
        <is>
          <t>Una fila por oportunidad perdida (tabla con filtros: use las flechas del encabezado). El resumen por motivo y competidor y los KPIs del slide se calculan solos.</t>
        </is>
      </c>
    </row>
    <row r="4">
      <c r="A4" s="105" t="inlineStr">
        <is>
          <t>Cliente</t>
        </is>
      </c>
      <c r="B4" s="105" t="inlineStr">
        <is>
          <t>Proyecto</t>
        </is>
      </c>
      <c r="C4" s="105" t="inlineStr">
        <is>
          <t>Producto</t>
        </is>
      </c>
      <c r="D4" s="105" t="inlineStr">
        <is>
          <t>m² perdidos</t>
        </is>
      </c>
      <c r="E4" s="105" t="inlineStr">
        <is>
          <t>Valor perdido (USD)</t>
        </is>
      </c>
      <c r="F4" s="105" t="inlineStr">
        <is>
          <t>Competidor</t>
        </is>
      </c>
      <c r="G4" s="105" t="inlineStr">
        <is>
          <t>Motivo (categoría)</t>
        </is>
      </c>
      <c r="H4" s="105" t="inlineStr">
        <is>
          <t>Motivo (detalle)</t>
        </is>
      </c>
      <c r="I4" s="105" t="inlineStr">
        <is>
          <t>Acción correctiva / aprendizaje</t>
        </is>
      </c>
      <c r="J4" s="105" t="inlineStr">
        <is>
          <t>Motivo – resumen slide</t>
        </is>
      </c>
      <c r="K4" s="105" t="inlineStr">
        <is>
          <t>Acción – resumen slide</t>
        </is>
      </c>
      <c r="M4" s="112" t="inlineStr">
        <is>
          <t>KPIs DEL SLIDE</t>
        </is>
      </c>
    </row>
    <row r="5">
      <c r="A5" s="136" t="inlineStr">
        <is>
          <t>EC BUILDING</t>
        </is>
      </c>
      <c r="B5" s="136" t="inlineStr">
        <is>
          <t>Bodega Mz 100, Zona Franca Zofia</t>
        </is>
      </c>
      <c r="C5" s="136" t="inlineStr">
        <is>
          <t>Kingroof / Kingwall</t>
        </is>
      </c>
      <c r="D5" s="137" t="n">
        <v>5000</v>
      </c>
      <c r="E5" s="138" t="n">
        <v>158110.27</v>
      </c>
      <c r="F5" s="136" t="inlineStr">
        <is>
          <t>Termopainel</t>
        </is>
      </c>
      <c r="G5" s="136" t="inlineStr">
        <is>
          <t>Precio</t>
        </is>
      </c>
      <c r="H5" s="139" t="inlineStr">
        <is>
          <t>Price was the reported reason for losing the opportunity.</t>
        </is>
      </c>
      <c r="I5" s="139" t="inlineStr">
        <is>
          <t>Strengthen the commercial relationship with the company's CEO to support future opportunities.</t>
        </is>
      </c>
      <c r="J5" s="136" t="inlineStr">
        <is>
          <t>Price</t>
        </is>
      </c>
      <c r="K5" s="136" t="inlineStr">
        <is>
          <t>Build CEO-level relationship</t>
        </is>
      </c>
      <c r="M5" s="103" t="inlineStr">
        <is>
          <t>Total m² perdidos</t>
        </is>
      </c>
      <c r="N5" s="111">
        <f>SUM($D$5:$D$34)</f>
        <v/>
      </c>
    </row>
    <row r="6">
      <c r="A6" s="136" t="inlineStr">
        <is>
          <t>Industrias Refridcol</t>
        </is>
      </c>
      <c r="B6" s="136" t="inlineStr">
        <is>
          <t>Proyecto Frigorífico Yumbo</t>
        </is>
      </c>
      <c r="C6" s="136" t="inlineStr">
        <is>
          <t>Kingfrigo 125 mm</t>
        </is>
      </c>
      <c r="D6" s="137" t="n">
        <v>2127</v>
      </c>
      <c r="E6" s="138" t="n">
        <v>131198.77</v>
      </c>
      <c r="F6" s="136" t="inlineStr">
        <is>
          <t>Metecno</t>
        </is>
      </c>
      <c r="G6" s="136" t="inlineStr">
        <is>
          <t>Capacidad de producción</t>
        </is>
      </c>
      <c r="H6" s="139" t="inlineStr">
        <is>
          <t>Although the purchase order had been received, production could not proceed because the required 14.28 m panel length exceeded current manufacturing capabilities.</t>
        </is>
      </c>
      <c r="I6" s="139" t="inlineStr">
        <is>
          <t>Follow up on plant upgrades and assess future feasibility for special-length panel requirements.</t>
        </is>
      </c>
      <c r="J6" s="136" t="inlineStr">
        <is>
          <t>Panel length &gt; plant capability</t>
        </is>
      </c>
      <c r="K6" s="136" t="inlineStr">
        <is>
          <t>Assess special-length capability</t>
        </is>
      </c>
      <c r="M6" s="103" t="inlineStr">
        <is>
          <t>Valor perdido (USD)</t>
        </is>
      </c>
      <c r="N6" s="140">
        <f>SUM($E$5:$E$34)</f>
        <v/>
      </c>
    </row>
    <row r="7">
      <c r="A7" s="136" t="inlineStr">
        <is>
          <t>Interfrigo</t>
        </is>
      </c>
      <c r="B7" s="136" t="inlineStr">
        <is>
          <t>—</t>
        </is>
      </c>
      <c r="C7" s="136" t="inlineStr">
        <is>
          <t>Kingfrigo 80</t>
        </is>
      </c>
      <c r="D7" s="137" t="n">
        <v>2000</v>
      </c>
      <c r="E7" s="138" t="n">
        <v>75892.92999999999</v>
      </c>
      <c r="F7" s="136" t="inlineStr">
        <is>
          <t>Termopainel</t>
        </is>
      </c>
      <c r="G7" s="136" t="inlineStr">
        <is>
          <t>Precio</t>
        </is>
      </c>
      <c r="H7" s="139" t="inlineStr">
        <is>
          <t>Price was the reported reason for losing the opportunity.</t>
        </is>
      </c>
      <c r="I7" s="139" t="inlineStr">
        <is>
          <t>Strengthen customer follow-up and encourage timely, clear feedback to identify objections earlier.</t>
        </is>
      </c>
      <c r="J7" s="136" t="inlineStr">
        <is>
          <t>Price</t>
        </is>
      </c>
      <c r="K7" s="136" t="inlineStr">
        <is>
          <t>Earlier follow-up and feedback</t>
        </is>
      </c>
      <c r="M7" s="103" t="inlineStr">
        <is>
          <t>N° oportunidades</t>
        </is>
      </c>
      <c r="N7" s="141">
        <f>COUNTA($A$5:$A$34)</f>
        <v/>
      </c>
    </row>
    <row r="8">
      <c r="A8" s="136" t="inlineStr">
        <is>
          <t>Centurión</t>
        </is>
      </c>
      <c r="B8" s="136" t="inlineStr">
        <is>
          <t>Mezzanine y Oficinas C5</t>
        </is>
      </c>
      <c r="C8" s="136" t="inlineStr">
        <is>
          <t>Kingfrigo 60</t>
        </is>
      </c>
      <c r="D8" s="137" t="n">
        <v>658.75</v>
      </c>
      <c r="E8" s="138" t="n">
        <v>20456.07</v>
      </c>
      <c r="F8" s="136" t="inlineStr">
        <is>
          <t>Not specified</t>
        </is>
      </c>
      <c r="G8" s="136" t="inlineStr">
        <is>
          <t>Presupuesto del cliente</t>
        </is>
      </c>
      <c r="H8" s="139" t="inlineStr">
        <is>
          <t>The opportunity was not secured due to budget constraints.</t>
        </is>
      </c>
      <c r="I8" s="139" t="inlineStr">
        <is>
          <t>Not specified in the original report; review budget alignment and explore alternatives with the customer.</t>
        </is>
      </c>
      <c r="J8" s="136" t="inlineStr">
        <is>
          <t>Customer budget</t>
        </is>
      </c>
      <c r="K8" s="136" t="inlineStr">
        <is>
          <t>Align budget, offer alternatives</t>
        </is>
      </c>
      <c r="M8" s="103" t="inlineStr">
        <is>
          <t>Ticket promedio (USD)</t>
        </is>
      </c>
      <c r="N8" s="140">
        <f>IFERROR(N6/N7,0)</f>
        <v/>
      </c>
    </row>
    <row r="9">
      <c r="A9" s="136" t="inlineStr">
        <is>
          <t>Andexco Colombia</t>
        </is>
      </c>
      <c r="B9" s="136" t="inlineStr">
        <is>
          <t>Cubierta Finca Lorica</t>
        </is>
      </c>
      <c r="C9" s="136" t="inlineStr">
        <is>
          <t>Kingroof PIR30</t>
        </is>
      </c>
      <c r="D9" s="137" t="n">
        <v>372</v>
      </c>
      <c r="E9" s="138" t="n">
        <v>17439.48</v>
      </c>
      <c r="F9" s="136" t="inlineStr">
        <is>
          <t>UPVC sheets</t>
        </is>
      </c>
      <c r="G9" s="136" t="inlineStr">
        <is>
          <t>Tecnología alternativa</t>
        </is>
      </c>
      <c r="H9" s="139" t="inlineStr">
        <is>
          <t>The customer selected an alternative UPVC roofing technology instead of the proposed solution.</t>
        </is>
      </c>
      <c r="I9" s="139" t="inlineStr">
        <is>
          <t>Provide product and value-proposition training to the distributor to strengthen technical and commercial selling.</t>
        </is>
      </c>
      <c r="J9" s="136" t="inlineStr">
        <is>
          <t>Alternative tech (UPVC)</t>
        </is>
      </c>
      <c r="K9" s="136" t="inlineStr">
        <is>
          <t>Distributor value training</t>
        </is>
      </c>
      <c r="M9" s="103" t="inlineStr">
        <is>
          <t>Precio medio perdido (USD/m²)</t>
        </is>
      </c>
      <c r="N9" s="142">
        <f>IFERROR(N6/N5,0)</f>
        <v/>
      </c>
    </row>
    <row r="10">
      <c r="A10" s="136" t="inlineStr">
        <is>
          <t>Bold</t>
        </is>
      </c>
      <c r="B10" s="136" t="inlineStr">
        <is>
          <t>Cubierta Color Madera James</t>
        </is>
      </c>
      <c r="C10" s="136" t="inlineStr">
        <is>
          <t>Kingroof PIR30</t>
        </is>
      </c>
      <c r="D10" s="137" t="n">
        <v>264</v>
      </c>
      <c r="E10" s="138" t="n">
        <v>10149.1</v>
      </c>
      <c r="F10" s="136" t="inlineStr">
        <is>
          <t>UPVC sheets</t>
        </is>
      </c>
      <c r="G10" s="136" t="inlineStr">
        <is>
          <t>Tecnología alternativa</t>
        </is>
      </c>
      <c r="H10" s="139" t="inlineStr">
        <is>
          <t>The customer selected an alternative UPVC roofing technology instead of the proposed solution.</t>
        </is>
      </c>
      <c r="I10" s="139" t="inlineStr">
        <is>
          <t>Provide product and value-proposition training to the distributor to strengthen technical and commercial selling.</t>
        </is>
      </c>
      <c r="J10" s="136" t="inlineStr">
        <is>
          <t>Alternative tech (UPVC)</t>
        </is>
      </c>
      <c r="K10" s="136" t="inlineStr">
        <is>
          <t>Distributor value training</t>
        </is>
      </c>
      <c r="M10" s="103" t="inlineStr">
        <is>
          <t>Motivo principal (por valor)</t>
        </is>
      </c>
      <c r="N10" s="110">
        <f>INDEX($M$15:$M$19,MATCH(MAX($O$15:$O$19),$O$15:$O$19,0))</f>
        <v/>
      </c>
    </row>
    <row r="11">
      <c r="A11" s="136" t="inlineStr">
        <is>
          <t>Andexco Colombia</t>
        </is>
      </c>
      <c r="B11" s="136" t="inlineStr">
        <is>
          <t>Finca Ganadera Piñón Magdalena</t>
        </is>
      </c>
      <c r="C11" s="136" t="inlineStr">
        <is>
          <t>Kingfrigo PIR50</t>
        </is>
      </c>
      <c r="D11" s="137" t="n">
        <v>154.7</v>
      </c>
      <c r="E11" s="138" t="n">
        <v>6479.7</v>
      </c>
      <c r="F11" s="136" t="inlineStr">
        <is>
          <t>Metecno</t>
        </is>
      </c>
      <c r="G11" s="136" t="inlineStr">
        <is>
          <t>Plazo de entrega</t>
        </is>
      </c>
      <c r="H11" s="139" t="inlineStr">
        <is>
          <t>The customer required immediate material availability and could not wait for the proposed delivery timeline.</t>
        </is>
      </c>
      <c r="I11" s="139" t="inlineStr">
        <is>
          <t>Confirm the customer's required delivery date early and assess availability before committing to a lead time.</t>
        </is>
      </c>
      <c r="J11" s="136" t="inlineStr">
        <is>
          <t>Lead time</t>
        </is>
      </c>
      <c r="K11" s="136" t="inlineStr">
        <is>
          <t>Confirm date &amp; stock upfront</t>
        </is>
      </c>
      <c r="M11" s="103" t="inlineStr">
        <is>
          <t>% del valor – motivo principal</t>
        </is>
      </c>
      <c r="N11" s="125">
        <f>IFERROR(MAX($O$15:$O$19)/N6,0)</f>
        <v/>
      </c>
    </row>
    <row r="12">
      <c r="A12" s="136" t="n"/>
      <c r="B12" s="136" t="n"/>
      <c r="C12" s="136" t="n"/>
      <c r="D12" s="137" t="n"/>
      <c r="E12" s="138" t="n"/>
      <c r="F12" s="136" t="n"/>
      <c r="G12" s="136" t="n"/>
      <c r="H12" s="139" t="n"/>
      <c r="I12" s="139" t="n"/>
      <c r="J12" s="136" t="n"/>
      <c r="K12" s="136" t="n"/>
      <c r="M12" s="103" t="inlineStr">
        <is>
          <t>Competidor principal (por valor)</t>
        </is>
      </c>
      <c r="N12" s="110">
        <f>INDEX($M$24:$M$27,MATCH(MAX($O$24:$O$27),$O$24:$O$27,0))</f>
        <v/>
      </c>
    </row>
    <row r="13">
      <c r="A13" s="136" t="n"/>
      <c r="B13" s="136" t="n"/>
      <c r="C13" s="136" t="n"/>
      <c r="D13" s="137" t="n"/>
      <c r="E13" s="138" t="n"/>
      <c r="F13" s="136" t="n"/>
      <c r="G13" s="136" t="n"/>
      <c r="H13" s="139" t="n"/>
      <c r="I13" s="139" t="n"/>
      <c r="J13" s="136" t="n"/>
      <c r="K13" s="136" t="n"/>
    </row>
    <row r="14">
      <c r="A14" s="136" t="n"/>
      <c r="B14" s="136" t="n"/>
      <c r="C14" s="136" t="n"/>
      <c r="D14" s="137" t="n"/>
      <c r="E14" s="138" t="n"/>
      <c r="F14" s="136" t="n"/>
      <c r="G14" s="136" t="n"/>
      <c r="H14" s="139" t="n"/>
      <c r="I14" s="139" t="n"/>
      <c r="J14" s="136" t="n"/>
      <c r="K14" s="136" t="n"/>
      <c r="M14" s="105" t="inlineStr">
        <is>
          <t>Motivo</t>
        </is>
      </c>
      <c r="N14" s="105" t="inlineStr">
        <is>
          <t>m²</t>
        </is>
      </c>
      <c r="O14" s="105" t="inlineStr">
        <is>
          <t>Valor USD</t>
        </is>
      </c>
      <c r="P14" s="105" t="inlineStr">
        <is>
          <t>N°</t>
        </is>
      </c>
      <c r="Q14" s="105" t="inlineStr">
        <is>
          <t>% valor</t>
        </is>
      </c>
    </row>
    <row r="15">
      <c r="A15" s="136" t="n"/>
      <c r="B15" s="136" t="n"/>
      <c r="C15" s="136" t="n"/>
      <c r="D15" s="137" t="n"/>
      <c r="E15" s="138" t="n"/>
      <c r="F15" s="136" t="n"/>
      <c r="G15" s="136" t="n"/>
      <c r="H15" s="139" t="n"/>
      <c r="I15" s="139" t="n"/>
      <c r="J15" s="136" t="n"/>
      <c r="K15" s="136" t="n"/>
      <c r="M15" s="103" t="inlineStr">
        <is>
          <t>Precio</t>
        </is>
      </c>
      <c r="N15" s="108">
        <f>SUMIF($G$5:$G$34,M15,$D$5:$D$34)</f>
        <v/>
      </c>
      <c r="O15" s="143">
        <f>SUMIF($G$5:$G$34,M15,$E$5:$E$34)</f>
        <v/>
      </c>
      <c r="P15" s="144">
        <f>COUNTIF($G$5:$G$34,M15)</f>
        <v/>
      </c>
      <c r="Q15" s="123">
        <f>IFERROR(O15/$N$6,0)</f>
        <v/>
      </c>
    </row>
    <row r="16">
      <c r="A16" s="136" t="n"/>
      <c r="B16" s="136" t="n"/>
      <c r="C16" s="136" t="n"/>
      <c r="D16" s="137" t="n"/>
      <c r="E16" s="138" t="n"/>
      <c r="F16" s="136" t="n"/>
      <c r="G16" s="136" t="n"/>
      <c r="H16" s="139" t="n"/>
      <c r="I16" s="139" t="n"/>
      <c r="J16" s="136" t="n"/>
      <c r="K16" s="136" t="n"/>
      <c r="M16" s="103" t="inlineStr">
        <is>
          <t>Capacidad de producción</t>
        </is>
      </c>
      <c r="N16" s="108">
        <f>SUMIF($G$5:$G$34,M16,$D$5:$D$34)</f>
        <v/>
      </c>
      <c r="O16" s="143">
        <f>SUMIF($G$5:$G$34,M16,$E$5:$E$34)</f>
        <v/>
      </c>
      <c r="P16" s="144">
        <f>COUNTIF($G$5:$G$34,M16)</f>
        <v/>
      </c>
      <c r="Q16" s="123">
        <f>IFERROR(O16/$N$6,0)</f>
        <v/>
      </c>
    </row>
    <row r="17">
      <c r="A17" s="136" t="n"/>
      <c r="B17" s="136" t="n"/>
      <c r="C17" s="136" t="n"/>
      <c r="D17" s="137" t="n"/>
      <c r="E17" s="138" t="n"/>
      <c r="F17" s="136" t="n"/>
      <c r="G17" s="136" t="n"/>
      <c r="H17" s="139" t="n"/>
      <c r="I17" s="139" t="n"/>
      <c r="J17" s="136" t="n"/>
      <c r="K17" s="136" t="n"/>
      <c r="M17" s="103" t="inlineStr">
        <is>
          <t>Presupuesto del cliente</t>
        </is>
      </c>
      <c r="N17" s="108">
        <f>SUMIF($G$5:$G$34,M17,$D$5:$D$34)</f>
        <v/>
      </c>
      <c r="O17" s="143">
        <f>SUMIF($G$5:$G$34,M17,$E$5:$E$34)</f>
        <v/>
      </c>
      <c r="P17" s="144">
        <f>COUNTIF($G$5:$G$34,M17)</f>
        <v/>
      </c>
      <c r="Q17" s="123">
        <f>IFERROR(O17/$N$6,0)</f>
        <v/>
      </c>
    </row>
    <row r="18">
      <c r="A18" s="136" t="n"/>
      <c r="B18" s="136" t="n"/>
      <c r="C18" s="136" t="n"/>
      <c r="D18" s="137" t="n"/>
      <c r="E18" s="138" t="n"/>
      <c r="F18" s="136" t="n"/>
      <c r="G18" s="136" t="n"/>
      <c r="H18" s="139" t="n"/>
      <c r="I18" s="139" t="n"/>
      <c r="J18" s="136" t="n"/>
      <c r="K18" s="136" t="n"/>
      <c r="M18" s="103" t="inlineStr">
        <is>
          <t>Tecnología alternativa</t>
        </is>
      </c>
      <c r="N18" s="108">
        <f>SUMIF($G$5:$G$34,M18,$D$5:$D$34)</f>
        <v/>
      </c>
      <c r="O18" s="143">
        <f>SUMIF($G$5:$G$34,M18,$E$5:$E$34)</f>
        <v/>
      </c>
      <c r="P18" s="144">
        <f>COUNTIF($G$5:$G$34,M18)</f>
        <v/>
      </c>
      <c r="Q18" s="123">
        <f>IFERROR(O18/$N$6,0)</f>
        <v/>
      </c>
    </row>
    <row r="19">
      <c r="A19" s="136" t="n"/>
      <c r="B19" s="136" t="n"/>
      <c r="C19" s="136" t="n"/>
      <c r="D19" s="137" t="n"/>
      <c r="E19" s="138" t="n"/>
      <c r="F19" s="136" t="n"/>
      <c r="G19" s="136" t="n"/>
      <c r="H19" s="139" t="n"/>
      <c r="I19" s="139" t="n"/>
      <c r="J19" s="136" t="n"/>
      <c r="K19" s="136" t="n"/>
      <c r="M19" s="103" t="inlineStr">
        <is>
          <t>Plazo de entrega</t>
        </is>
      </c>
      <c r="N19" s="108">
        <f>SUMIF($G$5:$G$34,M19,$D$5:$D$34)</f>
        <v/>
      </c>
      <c r="O19" s="143">
        <f>SUMIF($G$5:$G$34,M19,$E$5:$E$34)</f>
        <v/>
      </c>
      <c r="P19" s="144">
        <f>COUNTIF($G$5:$G$34,M19)</f>
        <v/>
      </c>
      <c r="Q19" s="123">
        <f>IFERROR(O19/$N$6,0)</f>
        <v/>
      </c>
    </row>
    <row r="20">
      <c r="A20" s="136" t="n"/>
      <c r="B20" s="136" t="n"/>
      <c r="C20" s="136" t="n"/>
      <c r="D20" s="137" t="n"/>
      <c r="E20" s="138" t="n"/>
      <c r="F20" s="136" t="n"/>
      <c r="G20" s="136" t="n"/>
      <c r="H20" s="139" t="n"/>
      <c r="I20" s="139" t="n"/>
      <c r="J20" s="136" t="n"/>
      <c r="K20" s="136" t="n"/>
    </row>
    <row r="21">
      <c r="A21" s="136" t="n"/>
      <c r="B21" s="136" t="n"/>
      <c r="C21" s="136" t="n"/>
      <c r="D21" s="137" t="n"/>
      <c r="E21" s="138" t="n"/>
      <c r="F21" s="136" t="n"/>
      <c r="G21" s="136" t="n"/>
      <c r="H21" s="139" t="n"/>
      <c r="I21" s="139" t="n"/>
      <c r="J21" s="136" t="n"/>
      <c r="K21" s="136" t="n"/>
    </row>
    <row r="22">
      <c r="A22" s="136" t="n"/>
      <c r="B22" s="136" t="n"/>
      <c r="C22" s="136" t="n"/>
      <c r="D22" s="137" t="n"/>
      <c r="E22" s="138" t="n"/>
      <c r="F22" s="136" t="n"/>
      <c r="G22" s="136" t="n"/>
      <c r="H22" s="139" t="n"/>
      <c r="I22" s="139" t="n"/>
      <c r="J22" s="136" t="n"/>
      <c r="K22" s="136" t="n"/>
    </row>
    <row r="23">
      <c r="A23" s="136" t="n"/>
      <c r="B23" s="136" t="n"/>
      <c r="C23" s="136" t="n"/>
      <c r="D23" s="137" t="n"/>
      <c r="E23" s="138" t="n"/>
      <c r="F23" s="136" t="n"/>
      <c r="G23" s="136" t="n"/>
      <c r="H23" s="139" t="n"/>
      <c r="I23" s="139" t="n"/>
      <c r="J23" s="136" t="n"/>
      <c r="K23" s="136" t="n"/>
      <c r="M23" s="105" t="inlineStr">
        <is>
          <t>Competidor</t>
        </is>
      </c>
      <c r="N23" s="105" t="inlineStr">
        <is>
          <t>m²</t>
        </is>
      </c>
      <c r="O23" s="105" t="inlineStr">
        <is>
          <t>Valor USD</t>
        </is>
      </c>
      <c r="P23" s="105" t="inlineStr">
        <is>
          <t>N°</t>
        </is>
      </c>
      <c r="Q23" s="105" t="inlineStr">
        <is>
          <t>% valor</t>
        </is>
      </c>
    </row>
    <row r="24">
      <c r="A24" s="136" t="n"/>
      <c r="B24" s="136" t="n"/>
      <c r="C24" s="136" t="n"/>
      <c r="D24" s="137" t="n"/>
      <c r="E24" s="138" t="n"/>
      <c r="F24" s="136" t="n"/>
      <c r="G24" s="136" t="n"/>
      <c r="H24" s="139" t="n"/>
      <c r="I24" s="139" t="n"/>
      <c r="J24" s="136" t="n"/>
      <c r="K24" s="136" t="n"/>
      <c r="M24" s="103" t="inlineStr">
        <is>
          <t>Termopainel</t>
        </is>
      </c>
      <c r="N24" s="108">
        <f>SUMIF($F$5:$F$34,M24,$D$5:$D$34)</f>
        <v/>
      </c>
      <c r="O24" s="143">
        <f>SUMIF($F$5:$F$34,M24,$E$5:$E$34)</f>
        <v/>
      </c>
      <c r="P24" s="144">
        <f>COUNTIF($F$5:$F$34,M24)</f>
        <v/>
      </c>
      <c r="Q24" s="123">
        <f>IFERROR(O24/$N$6,0)</f>
        <v/>
      </c>
    </row>
    <row r="25">
      <c r="A25" s="136" t="n"/>
      <c r="B25" s="136" t="n"/>
      <c r="C25" s="136" t="n"/>
      <c r="D25" s="137" t="n"/>
      <c r="E25" s="138" t="n"/>
      <c r="F25" s="136" t="n"/>
      <c r="G25" s="136" t="n"/>
      <c r="H25" s="139" t="n"/>
      <c r="I25" s="139" t="n"/>
      <c r="J25" s="136" t="n"/>
      <c r="K25" s="136" t="n"/>
      <c r="M25" s="103" t="inlineStr">
        <is>
          <t>Metecno</t>
        </is>
      </c>
      <c r="N25" s="108">
        <f>SUMIF($F$5:$F$34,M25,$D$5:$D$34)</f>
        <v/>
      </c>
      <c r="O25" s="143">
        <f>SUMIF($F$5:$F$34,M25,$E$5:$E$34)</f>
        <v/>
      </c>
      <c r="P25" s="144">
        <f>COUNTIF($F$5:$F$34,M25)</f>
        <v/>
      </c>
      <c r="Q25" s="123">
        <f>IFERROR(O25/$N$6,0)</f>
        <v/>
      </c>
    </row>
    <row r="26">
      <c r="A26" s="136" t="n"/>
      <c r="B26" s="136" t="n"/>
      <c r="C26" s="136" t="n"/>
      <c r="D26" s="137" t="n"/>
      <c r="E26" s="138" t="n"/>
      <c r="F26" s="136" t="n"/>
      <c r="G26" s="136" t="n"/>
      <c r="H26" s="139" t="n"/>
      <c r="I26" s="139" t="n"/>
      <c r="J26" s="136" t="n"/>
      <c r="K26" s="136" t="n"/>
      <c r="M26" s="103" t="inlineStr">
        <is>
          <t>UPVC sheets</t>
        </is>
      </c>
      <c r="N26" s="108">
        <f>SUMIF($F$5:$F$34,M26,$D$5:$D$34)</f>
        <v/>
      </c>
      <c r="O26" s="143">
        <f>SUMIF($F$5:$F$34,M26,$E$5:$E$34)</f>
        <v/>
      </c>
      <c r="P26" s="144">
        <f>COUNTIF($F$5:$F$34,M26)</f>
        <v/>
      </c>
      <c r="Q26" s="123">
        <f>IFERROR(O26/$N$6,0)</f>
        <v/>
      </c>
    </row>
    <row r="27">
      <c r="A27" s="136" t="n"/>
      <c r="B27" s="136" t="n"/>
      <c r="C27" s="136" t="n"/>
      <c r="D27" s="137" t="n"/>
      <c r="E27" s="138" t="n"/>
      <c r="F27" s="136" t="n"/>
      <c r="G27" s="136" t="n"/>
      <c r="H27" s="139" t="n"/>
      <c r="I27" s="139" t="n"/>
      <c r="J27" s="136" t="n"/>
      <c r="K27" s="136" t="n"/>
      <c r="M27" s="103" t="inlineStr">
        <is>
          <t>Not specified</t>
        </is>
      </c>
      <c r="N27" s="108">
        <f>SUMIF($F$5:$F$34,M27,$D$5:$D$34)</f>
        <v/>
      </c>
      <c r="O27" s="143">
        <f>SUMIF($F$5:$F$34,M27,$E$5:$E$34)</f>
        <v/>
      </c>
      <c r="P27" s="144">
        <f>COUNTIF($F$5:$F$34,M27)</f>
        <v/>
      </c>
      <c r="Q27" s="123">
        <f>IFERROR(O27/$N$6,0)</f>
        <v/>
      </c>
    </row>
    <row r="28">
      <c r="A28" s="136" t="n"/>
      <c r="B28" s="136" t="n"/>
      <c r="C28" s="136" t="n"/>
      <c r="D28" s="137" t="n"/>
      <c r="E28" s="138" t="n"/>
      <c r="F28" s="136" t="n"/>
      <c r="G28" s="136" t="n"/>
      <c r="H28" s="139" t="n"/>
      <c r="I28" s="139" t="n"/>
      <c r="J28" s="136" t="n"/>
      <c r="K28" s="136" t="n"/>
    </row>
    <row r="29">
      <c r="A29" s="136" t="n"/>
      <c r="B29" s="136" t="n"/>
      <c r="C29" s="136" t="n"/>
      <c r="D29" s="137" t="n"/>
      <c r="E29" s="138" t="n"/>
      <c r="F29" s="136" t="n"/>
      <c r="G29" s="136" t="n"/>
      <c r="H29" s="139" t="n"/>
      <c r="I29" s="139" t="n"/>
      <c r="J29" s="136" t="n"/>
      <c r="K29" s="136" t="n"/>
    </row>
    <row r="30">
      <c r="A30" s="136" t="n"/>
      <c r="B30" s="136" t="n"/>
      <c r="C30" s="136" t="n"/>
      <c r="D30" s="137" t="n"/>
      <c r="E30" s="138" t="n"/>
      <c r="F30" s="136" t="n"/>
      <c r="G30" s="136" t="n"/>
      <c r="H30" s="139" t="n"/>
      <c r="I30" s="139" t="n"/>
      <c r="J30" s="136" t="n"/>
      <c r="K30" s="136" t="n"/>
      <c r="M30" s="112" t="inlineStr">
        <is>
          <t>CONSULTA INTERACTIVA</t>
        </is>
      </c>
    </row>
    <row r="31">
      <c r="A31" s="136" t="n"/>
      <c r="B31" s="136" t="n"/>
      <c r="C31" s="136" t="n"/>
      <c r="D31" s="137" t="n"/>
      <c r="E31" s="138" t="n"/>
      <c r="F31" s="136" t="n"/>
      <c r="G31" s="136" t="n"/>
      <c r="H31" s="139" t="n"/>
      <c r="I31" s="139" t="n"/>
      <c r="J31" s="136" t="n"/>
      <c r="K31" s="136" t="n"/>
      <c r="M31" s="103" t="inlineStr">
        <is>
          <t>Competidor (seleccione)</t>
        </is>
      </c>
      <c r="N31" s="104" t="inlineStr">
        <is>
          <t>Todos</t>
        </is>
      </c>
    </row>
    <row r="32">
      <c r="A32" s="136" t="n"/>
      <c r="B32" s="136" t="n"/>
      <c r="C32" s="136" t="n"/>
      <c r="D32" s="137" t="n"/>
      <c r="E32" s="138" t="n"/>
      <c r="F32" s="136" t="n"/>
      <c r="G32" s="136" t="n"/>
      <c r="H32" s="139" t="n"/>
      <c r="I32" s="139" t="n"/>
      <c r="J32" s="136" t="n"/>
      <c r="K32" s="136" t="n"/>
      <c r="M32" s="103" t="inlineStr">
        <is>
          <t>Motivo (seleccione)</t>
        </is>
      </c>
      <c r="N32" s="104" t="inlineStr">
        <is>
          <t>Todos</t>
        </is>
      </c>
    </row>
    <row r="33">
      <c r="A33" s="136" t="n"/>
      <c r="B33" s="136" t="n"/>
      <c r="C33" s="136" t="n"/>
      <c r="D33" s="137" t="n"/>
      <c r="E33" s="138" t="n"/>
      <c r="F33" s="136" t="n"/>
      <c r="G33" s="136" t="n"/>
      <c r="H33" s="139" t="n"/>
      <c r="I33" s="139" t="n"/>
      <c r="J33" s="136" t="n"/>
      <c r="K33" s="136" t="n"/>
      <c r="M33" s="103" t="inlineStr">
        <is>
          <t>m² perdidos (filtro)</t>
        </is>
      </c>
      <c r="N33" s="145">
        <f>SUMIFS($D$5:$D$34,$F$5:$F$34,IF($N$31="Todos","*",$N$31),$G$5:$G$34,IF($N$32="Todos","*",$N$32))</f>
        <v/>
      </c>
    </row>
    <row r="34">
      <c r="A34" s="136" t="n"/>
      <c r="B34" s="136" t="n"/>
      <c r="C34" s="136" t="n"/>
      <c r="D34" s="137" t="n"/>
      <c r="E34" s="138" t="n"/>
      <c r="F34" s="136" t="n"/>
      <c r="G34" s="136" t="n"/>
      <c r="H34" s="139" t="n"/>
      <c r="I34" s="139" t="n"/>
      <c r="J34" s="136" t="n"/>
      <c r="K34" s="136" t="n"/>
      <c r="M34" s="103" t="inlineStr">
        <is>
          <t>Valor USD (filtro)</t>
        </is>
      </c>
      <c r="N34" s="146">
        <f>SUMIFS($E$5:$E$34,$F$5:$F$34,IF($N$31="Todos","*",$N$31),$G$5:$G$34,IF($N$32="Todos","*",$N$32))</f>
        <v/>
      </c>
    </row>
    <row r="35">
      <c r="M35" s="103" t="inlineStr">
        <is>
          <t>N° oportunidades (filtro)</t>
        </is>
      </c>
      <c r="N35" s="147">
        <f>COUNTIFS($F$5:$F$34,IF($N$31="Todos","*",$N$31),$G$5:$G$34,IF($N$32="Todos","*",$N$32))</f>
        <v/>
      </c>
    </row>
  </sheetData>
  <dataValidations count="3">
    <dataValidation sqref="G5:G34" showDropDown="0" showInputMessage="0" showErrorMessage="0" allowBlank="1" type="list">
      <formula1>"Precio,Capacidad de producción,Presupuesto del cliente,Tecnología alternativa,Plazo de entrega,Otro"</formula1>
    </dataValidation>
    <dataValidation sqref="N31" showDropDown="0" showInputMessage="0" showErrorMessage="0" allowBlank="0" type="list">
      <formula1>"Todos,Termopainel,Metecno,UPVC sheets,Not specified"</formula1>
    </dataValidation>
    <dataValidation sqref="N32" showDropDown="0" showInputMessage="0" showErrorMessage="0" allowBlank="0" type="list">
      <formula1>"Todos,Precio,Capacidad de producción,Presupuesto del cliente,Tecnología alternativa,Plazo de entrega"</formula1>
    </dataValidation>
  </dataValidation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2026-10-02T22:05:38Z</dcterms:created>
  <dcterms:modified xmlns:dcterms="http://purl.org/dc/terms/" xmlns:xsi="http://www.w3.org/2001/XMLSchema-instance" xsi:type="dcterms:W3CDTF">2026-10-30T06:19:56Z</dcterms:modified>
  <cp:lastModifiedBy>Andres Blanco</cp:lastModifiedBy>
  <cp:revision>2</cp:revision>
</cp:coreProperties>
</file>