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blanco\Downloads\"/>
    </mc:Choice>
  </mc:AlternateContent>
  <xr:revisionPtr revIDLastSave="0" documentId="8_{44EAD384-F1BD-436F-AB6F-04919E28920E}" xr6:coauthVersionLast="47" xr6:coauthVersionMax="47" xr10:uidLastSave="{00000000-0000-0000-0000-000000000000}"/>
  <bookViews>
    <workbookView xWindow="-120" yWindow="-120" windowWidth="29040" windowHeight="15720" xr2:uid="{6389B09B-B98C-4896-8F36-73D8FFDCB5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9" i="1" l="1"/>
  <c r="P19" i="1"/>
  <c r="O19" i="1"/>
  <c r="N19" i="1"/>
  <c r="M19" i="1"/>
  <c r="L19" i="1"/>
  <c r="K19" i="1"/>
  <c r="J19" i="1"/>
  <c r="I19" i="1"/>
  <c r="H19" i="1"/>
  <c r="G19" i="1"/>
  <c r="F19" i="1"/>
  <c r="Q18" i="1"/>
  <c r="P18" i="1"/>
  <c r="O18" i="1"/>
  <c r="N18" i="1"/>
  <c r="M18" i="1"/>
  <c r="L18" i="1"/>
  <c r="K18" i="1"/>
  <c r="J18" i="1"/>
  <c r="I18" i="1"/>
  <c r="H18" i="1"/>
  <c r="G18" i="1"/>
  <c r="F18" i="1"/>
  <c r="Q17" i="1"/>
  <c r="P17" i="1"/>
  <c r="O17" i="1"/>
  <c r="N17" i="1"/>
  <c r="M17" i="1"/>
  <c r="L17" i="1"/>
  <c r="K17" i="1"/>
  <c r="J17" i="1"/>
  <c r="I17" i="1"/>
  <c r="H17" i="1"/>
  <c r="G17" i="1"/>
  <c r="F17" i="1"/>
  <c r="Q16" i="1"/>
  <c r="P16" i="1"/>
  <c r="O16" i="1"/>
  <c r="N16" i="1"/>
  <c r="M16" i="1"/>
  <c r="L16" i="1"/>
  <c r="K16" i="1"/>
  <c r="J16" i="1"/>
  <c r="I16" i="1"/>
  <c r="H16" i="1"/>
  <c r="H20" i="1" s="1"/>
  <c r="G16" i="1"/>
  <c r="F16" i="1"/>
  <c r="Q15" i="1"/>
  <c r="Q20" i="1" s="1"/>
  <c r="P15" i="1"/>
  <c r="O15" i="1"/>
  <c r="O20" i="1" s="1"/>
  <c r="N15" i="1"/>
  <c r="M15" i="1"/>
  <c r="L15" i="1"/>
  <c r="K15" i="1"/>
  <c r="J15" i="1"/>
  <c r="I15" i="1"/>
  <c r="H15" i="1"/>
  <c r="G15" i="1"/>
  <c r="G20" i="1" s="1"/>
  <c r="S20" i="1"/>
  <c r="F15" i="1"/>
  <c r="R17" i="1" l="1"/>
  <c r="N20" i="1"/>
  <c r="R16" i="1"/>
  <c r="R15" i="1"/>
  <c r="J20" i="1"/>
  <c r="R18" i="1"/>
  <c r="R19" i="1"/>
  <c r="L20" i="1"/>
  <c r="M20" i="1"/>
  <c r="F20" i="1"/>
  <c r="K20" i="1"/>
  <c r="I20" i="1"/>
  <c r="P20" i="1"/>
  <c r="R20" i="1" l="1"/>
  <c r="R6" i="1"/>
</calcChain>
</file>

<file path=xl/sharedStrings.xml><?xml version="1.0" encoding="utf-8"?>
<sst xmlns="http://schemas.openxmlformats.org/spreadsheetml/2006/main" count="39" uniqueCount="34">
  <si>
    <t>Insulated Panels (m2)</t>
  </si>
  <si>
    <t>Industrial</t>
  </si>
  <si>
    <t>Canal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</si>
  <si>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</si>
  <si>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</si>
  <si>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</si>
  <si>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</si>
  <si>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</si>
  <si>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</si>
  <si>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</si>
  <si>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</si>
  <si>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</si>
  <si>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</si>
  <si>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</si>
  <si>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</si>
  <si>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Total anual</t>
  </si>
  <si>
    <t>Distribución</t>
  </si>
  <si>
    <t>Otras Geografías</t>
  </si>
  <si>
    <t>SITES</t>
  </si>
  <si>
    <t>Ventas Alternativas</t>
  </si>
  <si>
    <t>Total</t>
  </si>
  <si>
    <t>Presupuetos Por Canales - Presupuesto Junta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</si>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</sst>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4" fontId="4" fillId="2" borderId="1" xfId="1" applyNumberFormat="1" applyFont="1" applyFill="1" applyBorder="1"/>
    <xf numFmtId="164" fontId="0" fillId="0" borderId="0" xfId="0" applyNumberFormat="1"/>
    <xf numFmtId="10" fontId="0" fillId="0" borderId="0" xfId="2" applyNumberFormat="1" applyFont="1"/>
    <xf numFmtId="43" fontId="0" fillId="0" borderId="0" xfId="1" applyFont="1"/>
    <xf numFmtId="164" fontId="0" fillId="0" borderId="0" xfId="1" applyNumberFormat="1" applyFont="1"/>
    <xf numFmtId="0" fontId="3" fillId="0" borderId="0" xfId="0" applyFont="1"/>
    <xf numFmtId="164" fontId="2" fillId="3" borderId="0" xfId="1" applyNumberFormat="1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DA69-4490-44F4-8E63-4F2B5AD9218D}">
  <dimension ref="D5:S20"/>
  <sheetViews>
    <sheetView tabSelected="1" workbookViewId="0">
      <selection activeCell="M6" sqref="M6"/>
    </sheetView>
  </sheetViews>
  <sheetFormatPr baseColWidth="10" defaultRowHeight="15" x14ac:dyDescent="0.25"/>
  <cols>
    <col min="4" max="4" width="20.42578125" bestFit="1" customWidth="1"/>
    <col min="6" max="6" width="12.140625" bestFit="1" customWidth="1"/>
    <col min="18" max="18" width="12.140625" bestFit="1" customWidth="1"/>
  </cols>
  <sheetData>
    <row r="5" spans="4:18" x14ac:dyDescent="0.25"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28</v>
      </c>
      <c r="M5" s="8" t="s">
        <v>29</v>
      </c>
      <c r="N5" s="8" t="s">
        <v>30</v>
      </c>
      <c r="O5" s="8" t="s">
        <v>31</v>
      </c>
      <c r="P5" s="8" t="s">
        <v>32</v>
      </c>
      <c r="Q5" s="8" t="s">
        <v>33</v>
      </c>
    </row>
    <row r="6" spans="4:18" x14ac:dyDescent="0.25">
      <c r="D6" s="1" t="s">
        <v>0</v>
      </c>
      <c r="E6" s="1"/>
      <c r="F6" s="2">
        <v>104628</v>
      </c>
      <c r="G6" s="2">
        <v>96362.69259677708</v>
      </c>
      <c r="H6" s="2">
        <v>115099.076379654</v>
      </c>
      <c r="I6" s="2">
        <v>98564.602217730222</v>
      </c>
      <c r="J6" s="2">
        <v>106108.77007586257</v>
      </c>
      <c r="K6" s="2">
        <v>121966.04949737195</v>
      </c>
      <c r="L6" s="2">
        <v>115931.37056061486</v>
      </c>
      <c r="M6" s="2">
        <v>143000</v>
      </c>
      <c r="N6" s="2">
        <v>125010</v>
      </c>
      <c r="O6" s="2">
        <v>123189</v>
      </c>
      <c r="P6" s="2">
        <v>132443</v>
      </c>
      <c r="Q6" s="2">
        <v>90000</v>
      </c>
      <c r="R6" s="3">
        <f>SUM(F6:Q6)</f>
        <v>1372302.5613280106</v>
      </c>
    </row>
    <row r="7" spans="4:18" x14ac:dyDescent="0.25">
      <c r="D7" t="s">
        <v>16</v>
      </c>
      <c r="F7" s="4">
        <v>0.19789999999999999</v>
      </c>
      <c r="G7" s="4">
        <v>0.1913</v>
      </c>
      <c r="H7" s="4">
        <v>0.19370000000000001</v>
      </c>
      <c r="I7" s="4">
        <v>0.20549999999999999</v>
      </c>
      <c r="J7" s="4">
        <v>0.20599999999999999</v>
      </c>
      <c r="K7" s="4">
        <v>0.2059</v>
      </c>
      <c r="L7" s="4">
        <v>0.2054</v>
      </c>
      <c r="M7" s="4">
        <v>0.2054</v>
      </c>
      <c r="N7" s="4">
        <v>0.1976</v>
      </c>
      <c r="O7" s="4">
        <v>0.1976</v>
      </c>
      <c r="P7" s="4">
        <v>0.2054</v>
      </c>
      <c r="Q7" s="4">
        <v>0.22309999999999999</v>
      </c>
      <c r="R7" s="4">
        <v>0.2029</v>
      </c>
    </row>
    <row r="8" spans="4:18" x14ac:dyDescent="0.25">
      <c r="D8" t="s">
        <v>1</v>
      </c>
      <c r="F8" s="4">
        <v>0.40550000000000003</v>
      </c>
      <c r="G8" s="4">
        <v>0.39200000000000002</v>
      </c>
      <c r="H8" s="4">
        <v>0.39029999999999998</v>
      </c>
      <c r="I8" s="4">
        <v>0.36580000000000001</v>
      </c>
      <c r="J8" s="4">
        <v>0.3417</v>
      </c>
      <c r="K8" s="4">
        <v>0.34150000000000003</v>
      </c>
      <c r="L8" s="4">
        <v>0.3407</v>
      </c>
      <c r="M8" s="4">
        <v>0.3407</v>
      </c>
      <c r="N8" s="4">
        <v>0.3276</v>
      </c>
      <c r="O8" s="4">
        <v>0.36830000000000002</v>
      </c>
      <c r="P8" s="4">
        <v>0.38400000000000001</v>
      </c>
      <c r="Q8" s="4">
        <v>0.41599999999999998</v>
      </c>
      <c r="R8" s="4">
        <v>0.36659999999999998</v>
      </c>
    </row>
    <row r="9" spans="4:18" x14ac:dyDescent="0.25">
      <c r="D9" t="s">
        <v>17</v>
      </c>
      <c r="F9" s="4">
        <v>0.26479999999999998</v>
      </c>
      <c r="G9" s="4">
        <v>0.29870000000000002</v>
      </c>
      <c r="H9" s="4">
        <v>0.30590000000000001</v>
      </c>
      <c r="I9" s="4">
        <v>0.31850000000000001</v>
      </c>
      <c r="J9" s="4">
        <v>0.31929999999999997</v>
      </c>
      <c r="K9" s="4">
        <v>0.31659999999999999</v>
      </c>
      <c r="L9" s="4">
        <v>0.31830000000000003</v>
      </c>
      <c r="M9" s="4">
        <v>0.31830000000000003</v>
      </c>
      <c r="N9" s="4">
        <v>0.34439999999999998</v>
      </c>
      <c r="O9" s="4">
        <v>0.34439999999999998</v>
      </c>
      <c r="P9" s="4">
        <v>0.31830000000000003</v>
      </c>
      <c r="Q9" s="4">
        <v>0.2596</v>
      </c>
      <c r="R9" s="4">
        <v>0.31190000000000001</v>
      </c>
    </row>
    <row r="10" spans="4:18" x14ac:dyDescent="0.25">
      <c r="D10" t="s">
        <v>18</v>
      </c>
      <c r="F10" s="4">
        <v>8.1000000000000003E-2</v>
      </c>
      <c r="G10" s="4">
        <v>7.8299999999999995E-2</v>
      </c>
      <c r="H10" s="4">
        <v>7.8E-2</v>
      </c>
      <c r="I10" s="4">
        <v>7.3099999999999998E-2</v>
      </c>
      <c r="J10" s="4">
        <v>9.7900000000000001E-2</v>
      </c>
      <c r="K10" s="4">
        <v>0.1008</v>
      </c>
      <c r="L10" s="4">
        <v>0.10059999999999999</v>
      </c>
      <c r="M10" s="4">
        <v>0.10059999999999999</v>
      </c>
      <c r="N10" s="4">
        <v>9.6699999999999994E-2</v>
      </c>
      <c r="O10" s="4">
        <v>5.6000000000000001E-2</v>
      </c>
      <c r="P10" s="4">
        <v>5.7200000000000001E-2</v>
      </c>
      <c r="Q10" s="4">
        <v>6.3200000000000006E-2</v>
      </c>
      <c r="R10" s="4">
        <v>8.2199999999999995E-2</v>
      </c>
    </row>
    <row r="11" spans="4:18" x14ac:dyDescent="0.25">
      <c r="D11" t="s">
        <v>19</v>
      </c>
      <c r="F11" s="4">
        <v>5.0799999999999998E-2</v>
      </c>
      <c r="G11" s="4">
        <v>3.9800000000000002E-2</v>
      </c>
      <c r="H11" s="4">
        <v>3.2099999999999997E-2</v>
      </c>
      <c r="I11" s="4">
        <v>3.7100000000000001E-2</v>
      </c>
      <c r="J11" s="4">
        <v>3.5099999999999999E-2</v>
      </c>
      <c r="K11" s="4">
        <v>3.5099999999999999E-2</v>
      </c>
      <c r="L11" s="4">
        <v>3.5000000000000003E-2</v>
      </c>
      <c r="M11" s="4">
        <v>3.5000000000000003E-2</v>
      </c>
      <c r="N11" s="4">
        <v>3.3700000000000001E-2</v>
      </c>
      <c r="O11" s="4">
        <v>3.3700000000000001E-2</v>
      </c>
      <c r="P11" s="4">
        <v>3.5000000000000003E-2</v>
      </c>
      <c r="Q11" s="4">
        <v>3.8100000000000002E-2</v>
      </c>
      <c r="R11" s="4">
        <v>3.6400000000000002E-2</v>
      </c>
    </row>
    <row r="12" spans="4:18" x14ac:dyDescent="0.25">
      <c r="R12" s="3"/>
    </row>
    <row r="13" spans="4:18" x14ac:dyDescent="0.25">
      <c r="D13" s="7" t="s">
        <v>21</v>
      </c>
    </row>
    <row r="14" spans="4:18" x14ac:dyDescent="0.25">
      <c r="D14" s="7" t="s">
        <v>2</v>
      </c>
      <c r="E14" s="7"/>
      <c r="F14" s="7" t="s">
        <v>3</v>
      </c>
      <c r="G14" s="7" t="s">
        <v>4</v>
      </c>
      <c r="H14" s="7" t="s">
        <v>5</v>
      </c>
      <c r="I14" s="7" t="s">
        <v>6</v>
      </c>
      <c r="J14" s="7" t="s">
        <v>7</v>
      </c>
      <c r="K14" s="7" t="s">
        <v>8</v>
      </c>
      <c r="L14" s="7" t="s">
        <v>9</v>
      </c>
      <c r="M14" s="7" t="s">
        <v>10</v>
      </c>
      <c r="N14" s="7" t="s">
        <v>11</v>
      </c>
      <c r="O14" s="7" t="s">
        <v>12</v>
      </c>
      <c r="P14" s="7" t="s">
        <v>13</v>
      </c>
      <c r="Q14" s="7" t="s">
        <v>14</v>
      </c>
      <c r="R14" s="7" t="s">
        <v>15</v>
      </c>
    </row>
    <row r="15" spans="4:18" x14ac:dyDescent="0.25">
      <c r="D15" t="s">
        <v>16</v>
      </c>
      <c r="F15" s="6">
        <f>+$F$6*F7</f>
        <v>20705.8812</v>
      </c>
      <c r="G15" s="6">
        <f>+$G$6*G7</f>
        <v>18434.183093763455</v>
      </c>
      <c r="H15" s="6">
        <f>+$H$6*H7</f>
        <v>22294.691094738981</v>
      </c>
      <c r="I15" s="6">
        <f>+$I$6*I7</f>
        <v>20255.025755743558</v>
      </c>
      <c r="J15" s="6">
        <f>+$J$6*J7</f>
        <v>21858.406635627689</v>
      </c>
      <c r="K15" s="6">
        <f>+$K$6*K7</f>
        <v>25112.809591508885</v>
      </c>
      <c r="L15" s="6">
        <f>+$L$6*L7</f>
        <v>23812.303513150291</v>
      </c>
      <c r="M15" s="6">
        <f>+$M$6*M7</f>
        <v>29372.2</v>
      </c>
      <c r="N15" s="6">
        <f>+$N$6*N7</f>
        <v>24701.975999999999</v>
      </c>
      <c r="O15" s="6">
        <f>+$O$6*O7</f>
        <v>24342.146400000001</v>
      </c>
      <c r="P15" s="6">
        <f>+$P$6*P7</f>
        <v>27203.7922</v>
      </c>
      <c r="Q15" s="6">
        <f>+$Q$6*Q7</f>
        <v>20079</v>
      </c>
      <c r="R15" s="6">
        <f>SUM(F15:Q15)</f>
        <v>278172.41548453283</v>
      </c>
    </row>
    <row r="16" spans="4:18" x14ac:dyDescent="0.25">
      <c r="D16" t="s">
        <v>1</v>
      </c>
      <c r="F16" s="6">
        <f t="shared" ref="F16:F19" si="0">+$F$6*F8</f>
        <v>42426.654000000002</v>
      </c>
      <c r="G16" s="6">
        <f t="shared" ref="G16:G19" si="1">+$G$6*G8</f>
        <v>37774.175497936616</v>
      </c>
      <c r="H16" s="6">
        <f t="shared" ref="H16:H19" si="2">+$H$6*H8</f>
        <v>44923.169510978951</v>
      </c>
      <c r="I16" s="6">
        <f t="shared" ref="I16:I19" si="3">+$I$6*I8</f>
        <v>36054.931491245719</v>
      </c>
      <c r="J16" s="6">
        <f t="shared" ref="J16:J19" si="4">+$J$6*J8</f>
        <v>36257.366734922238</v>
      </c>
      <c r="K16" s="6">
        <f t="shared" ref="K16:K19" si="5">+$K$6*K8</f>
        <v>41651.405903352526</v>
      </c>
      <c r="L16" s="6">
        <f t="shared" ref="L16:L19" si="6">+$L$6*L8</f>
        <v>39497.817950001481</v>
      </c>
      <c r="M16" s="6">
        <f t="shared" ref="M16:M19" si="7">+$M$6*M8</f>
        <v>48720.1</v>
      </c>
      <c r="N16" s="6">
        <f t="shared" ref="N16:N19" si="8">+$N$6*N8</f>
        <v>40953.275999999998</v>
      </c>
      <c r="O16" s="6">
        <f t="shared" ref="O16:O19" si="9">+$O$6*O8</f>
        <v>45370.508699999998</v>
      </c>
      <c r="P16" s="6">
        <f t="shared" ref="P16:P19" si="10">+$P$6*P8</f>
        <v>50858.112000000001</v>
      </c>
      <c r="Q16" s="6">
        <f t="shared" ref="Q16:Q19" si="11">+$Q$6*Q8</f>
        <v>37440</v>
      </c>
      <c r="R16" s="6">
        <f t="shared" ref="R16:R19" si="12">SUM(F16:Q16)</f>
        <v>501927.51778843754</v>
      </c>
    </row>
    <row r="17" spans="4:19" x14ac:dyDescent="0.25">
      <c r="D17" t="s">
        <v>17</v>
      </c>
      <c r="F17" s="6">
        <f t="shared" si="0"/>
        <v>27705.4944</v>
      </c>
      <c r="G17" s="6">
        <f t="shared" si="1"/>
        <v>28783.536278657317</v>
      </c>
      <c r="H17" s="6">
        <f t="shared" si="2"/>
        <v>35208.807464536156</v>
      </c>
      <c r="I17" s="6">
        <f t="shared" si="3"/>
        <v>31392.825806347075</v>
      </c>
      <c r="J17" s="6">
        <f t="shared" si="4"/>
        <v>33880.530285222914</v>
      </c>
      <c r="K17" s="6">
        <f t="shared" si="5"/>
        <v>38614.451270867954</v>
      </c>
      <c r="L17" s="6">
        <f t="shared" si="6"/>
        <v>36900.955249443716</v>
      </c>
      <c r="M17" s="6">
        <f t="shared" si="7"/>
        <v>45516.9</v>
      </c>
      <c r="N17" s="6">
        <f t="shared" si="8"/>
        <v>43053.443999999996</v>
      </c>
      <c r="O17" s="6">
        <f t="shared" si="9"/>
        <v>42426.291599999997</v>
      </c>
      <c r="P17" s="6">
        <f t="shared" si="10"/>
        <v>42156.606900000006</v>
      </c>
      <c r="Q17" s="6">
        <f t="shared" si="11"/>
        <v>23364</v>
      </c>
      <c r="R17" s="6">
        <f t="shared" si="12"/>
        <v>429003.84325507516</v>
      </c>
    </row>
    <row r="18" spans="4:19" x14ac:dyDescent="0.25">
      <c r="D18" t="s">
        <v>18</v>
      </c>
      <c r="F18" s="6">
        <f t="shared" si="0"/>
        <v>8474.8680000000004</v>
      </c>
      <c r="G18" s="6">
        <f t="shared" si="1"/>
        <v>7545.1988303276448</v>
      </c>
      <c r="H18" s="6">
        <f t="shared" si="2"/>
        <v>8977.7279576130113</v>
      </c>
      <c r="I18" s="6">
        <f t="shared" si="3"/>
        <v>7205.072422116079</v>
      </c>
      <c r="J18" s="6">
        <f t="shared" si="4"/>
        <v>10388.048590426946</v>
      </c>
      <c r="K18" s="6">
        <f t="shared" si="5"/>
        <v>12294.177789335092</v>
      </c>
      <c r="L18" s="6">
        <f t="shared" si="6"/>
        <v>11662.695878397853</v>
      </c>
      <c r="M18" s="6">
        <f t="shared" si="7"/>
        <v>14385.8</v>
      </c>
      <c r="N18" s="6">
        <f t="shared" si="8"/>
        <v>12088.466999999999</v>
      </c>
      <c r="O18" s="6">
        <f t="shared" si="9"/>
        <v>6898.5839999999998</v>
      </c>
      <c r="P18" s="6">
        <f t="shared" si="10"/>
        <v>7575.7395999999999</v>
      </c>
      <c r="Q18" s="6">
        <f t="shared" si="11"/>
        <v>5688.0000000000009</v>
      </c>
      <c r="R18" s="6">
        <f t="shared" si="12"/>
        <v>113184.38006821663</v>
      </c>
    </row>
    <row r="19" spans="4:19" x14ac:dyDescent="0.25">
      <c r="D19" t="s">
        <v>19</v>
      </c>
      <c r="F19" s="6">
        <f t="shared" si="0"/>
        <v>5315.1023999999998</v>
      </c>
      <c r="G19" s="6">
        <f t="shared" si="1"/>
        <v>3835.235165351728</v>
      </c>
      <c r="H19" s="6">
        <f t="shared" si="2"/>
        <v>3694.680351786893</v>
      </c>
      <c r="I19" s="6">
        <f t="shared" si="3"/>
        <v>3656.7467422777913</v>
      </c>
      <c r="J19" s="6">
        <f t="shared" si="4"/>
        <v>3724.4178296627761</v>
      </c>
      <c r="K19" s="6">
        <f t="shared" si="5"/>
        <v>4281.0083373577554</v>
      </c>
      <c r="L19" s="6">
        <f t="shared" si="6"/>
        <v>4057.5979696215204</v>
      </c>
      <c r="M19" s="6">
        <f t="shared" si="7"/>
        <v>5005.0000000000009</v>
      </c>
      <c r="N19" s="6">
        <f t="shared" si="8"/>
        <v>4212.8370000000004</v>
      </c>
      <c r="O19" s="6">
        <f t="shared" si="9"/>
        <v>4151.4692999999997</v>
      </c>
      <c r="P19" s="6">
        <f t="shared" si="10"/>
        <v>4635.5050000000001</v>
      </c>
      <c r="Q19" s="6">
        <f t="shared" si="11"/>
        <v>3429</v>
      </c>
      <c r="R19" s="6">
        <f t="shared" si="12"/>
        <v>49998.600096058464</v>
      </c>
    </row>
    <row r="20" spans="4:19" x14ac:dyDescent="0.25">
      <c r="D20" t="s">
        <v>20</v>
      </c>
      <c r="F20" s="6">
        <f>SUM(F15:F19)</f>
        <v>104628</v>
      </c>
      <c r="G20" s="6">
        <f t="shared" ref="G20:S20" si="13">SUM(G15:G19)</f>
        <v>96372.328866036754</v>
      </c>
      <c r="H20" s="6">
        <f t="shared" si="13"/>
        <v>115099.076379654</v>
      </c>
      <c r="I20" s="6">
        <f t="shared" si="13"/>
        <v>98564.602217730207</v>
      </c>
      <c r="J20" s="6">
        <f t="shared" si="13"/>
        <v>106108.77007586257</v>
      </c>
      <c r="K20" s="6">
        <f t="shared" si="13"/>
        <v>121953.85289242222</v>
      </c>
      <c r="L20" s="6">
        <f t="shared" si="13"/>
        <v>115931.37056061486</v>
      </c>
      <c r="M20" s="6">
        <f t="shared" si="13"/>
        <v>143000</v>
      </c>
      <c r="N20" s="6">
        <f t="shared" si="13"/>
        <v>125010</v>
      </c>
      <c r="O20" s="6">
        <f t="shared" si="13"/>
        <v>123189</v>
      </c>
      <c r="P20" s="6">
        <f t="shared" si="13"/>
        <v>132429.75570000001</v>
      </c>
      <c r="Q20" s="6">
        <f t="shared" si="13"/>
        <v>90000</v>
      </c>
      <c r="R20" s="6">
        <f t="shared" si="13"/>
        <v>1372286.7566923208</v>
      </c>
      <c r="S20" s="5">
        <f t="shared" si="1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Blanco</dc:creator>
  <cp:lastModifiedBy>Andres Blanco</cp:lastModifiedBy>
  <dcterms:created xsi:type="dcterms:W3CDTF">2026-10-30T05:35:19Z</dcterms:created>
  <dcterms:modified xsi:type="dcterms:W3CDTF">2026-10-30T05:51:38Z</dcterms:modified>
</cp:coreProperties>
</file>