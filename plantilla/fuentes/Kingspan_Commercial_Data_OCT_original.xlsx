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omments6.xml" ContentType="application/vnd.openxmlformats-officedocument.spreadsheetml.comments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kingspangroup-my.sharepoint.com/personal/julio_benavides_kna_kingspan_net/Documents/10. SEGUIMIENTO PEDIDOS/PROYECCIONES DE VENTAS/Presentacion Junta/2026/10. Octubre/"/>
    </mc:Choice>
  </mc:AlternateContent>
  <xr:revisionPtr revIDLastSave="173" documentId="11_58389ECE09358C41DDEC3F61C2006BC3316CA849" xr6:coauthVersionLast="47" xr6:coauthVersionMax="47" xr10:uidLastSave="{4267592D-532B-43B6-B2DF-F8181BAA5D1D}"/>
  <bookViews>
    <workbookView xWindow="-120" yWindow="-120" windowWidth="29040" windowHeight="15720" tabRatio="500" firstSheet="3" activeTab="7" xr2:uid="{00000000-000D-0000-FFFF-FFFF00000000}"/>
  </bookViews>
  <sheets>
    <sheet name="LEEME" sheetId="1" r:id="rId1"/>
    <sheet name="00_Resumen_Ejecutivo" sheetId="2" r:id="rId2"/>
    <sheet name="01_Overview" sheetId="3" r:id="rId3"/>
    <sheet name="02_OI" sheetId="4" r:id="rId4"/>
    <sheet name="03_OI_Canal" sheetId="5" r:id="rId5"/>
    <sheet name="04_Backlog" sheetId="6" r:id="rId6"/>
    <sheet name="05_Backlog_Canal" sheetId="7" r:id="rId7"/>
    <sheet name="06_Perf_Forecast" sheetId="8" r:id="rId8"/>
    <sheet name="07_Top_Opps" sheetId="9" r:id="rId9"/>
    <sheet name="08_Key_Projects" sheetId="10" r:id="rId10"/>
    <sheet name="RSM_Resumen_Canales" sheetId="11" r:id="rId11"/>
    <sheet name="09_RSM_Industrial" sheetId="12" r:id="rId12"/>
    <sheet name="10_RSM_Distribucion" sheetId="13" r:id="rId13"/>
    <sheet name="11_RSM_Otras_Geo" sheetId="14" r:id="rId14"/>
    <sheet name="12_RSM_Cold_Storage" sheetId="15" r:id="rId15"/>
    <sheet name="13_RSM_Site_Cali" sheetId="16" r:id="rId16"/>
    <sheet name="14_RSM_Vtas_Alt" sheetId="17" r:id="rId17"/>
    <sheet name="15_Highlights" sheetId="18" r:id="rId18"/>
    <sheet name="Pipeline" sheetId="19" r:id="rId19"/>
    <sheet name="Validaciones" sheetId="20" r:id="rId20"/>
    <sheet name="16_Iniciativas" sheetId="21" r:id="rId21"/>
    <sheet name="17_Actividad_Impacto" sheetId="22" r:id="rId22"/>
    <sheet name="18_Acciones_Decisiones" sheetId="23" r:id="rId23"/>
  </sheets>
  <definedNames>
    <definedName name="_xlnm._FilterDatabase" localSheetId="18" hidden="1">Pipeline!$A$6:$P$67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5" i="19" l="1"/>
  <c r="O15" i="19"/>
  <c r="P15" i="19"/>
  <c r="B5" i="7"/>
  <c r="H2" i="7"/>
  <c r="B5" i="5"/>
  <c r="I2" i="5" a="1"/>
  <c r="I2" i="5" s="1"/>
  <c r="C29" i="8"/>
  <c r="B30" i="8"/>
  <c r="D17" i="8"/>
  <c r="G24" i="4" l="1"/>
  <c r="D23" i="3" l="1"/>
  <c r="C11" i="3"/>
  <c r="C16" i="23" l="1"/>
  <c r="C22" i="22"/>
  <c r="C20" i="22"/>
  <c r="C18" i="22"/>
  <c r="C17" i="22"/>
  <c r="C16" i="22"/>
  <c r="C15" i="22"/>
  <c r="C12" i="22"/>
  <c r="C13" i="22" s="1"/>
  <c r="C11" i="22"/>
  <c r="C21" i="22" s="1"/>
  <c r="C7" i="22"/>
  <c r="C6" i="22"/>
  <c r="C5" i="22"/>
  <c r="C18" i="21"/>
  <c r="C17" i="21"/>
  <c r="C16" i="21"/>
  <c r="C15" i="21"/>
  <c r="G12" i="21"/>
  <c r="I12" i="21" s="1"/>
  <c r="G11" i="21"/>
  <c r="I11" i="21" s="1"/>
  <c r="I10" i="21"/>
  <c r="G10" i="21"/>
  <c r="G9" i="21"/>
  <c r="I9" i="21" s="1"/>
  <c r="I8" i="21"/>
  <c r="G8" i="21"/>
  <c r="G7" i="21"/>
  <c r="I7" i="21" s="1"/>
  <c r="G6" i="21"/>
  <c r="I6" i="21" s="1"/>
  <c r="G5" i="21"/>
  <c r="I5" i="21" s="1"/>
  <c r="E3" i="20"/>
  <c r="P67" i="19"/>
  <c r="O67" i="19"/>
  <c r="N67" i="19"/>
  <c r="M67" i="19"/>
  <c r="L67" i="19"/>
  <c r="P66" i="19"/>
  <c r="O66" i="19"/>
  <c r="N66" i="19"/>
  <c r="M66" i="19"/>
  <c r="L66" i="19"/>
  <c r="P65" i="19"/>
  <c r="O65" i="19"/>
  <c r="N65" i="19"/>
  <c r="M65" i="19"/>
  <c r="L65" i="19"/>
  <c r="P64" i="19"/>
  <c r="O64" i="19"/>
  <c r="N64" i="19"/>
  <c r="M64" i="19"/>
  <c r="L64" i="19"/>
  <c r="P63" i="19"/>
  <c r="O63" i="19"/>
  <c r="N63" i="19"/>
  <c r="M63" i="19"/>
  <c r="L63" i="19"/>
  <c r="P62" i="19"/>
  <c r="O62" i="19"/>
  <c r="N62" i="19"/>
  <c r="M62" i="19"/>
  <c r="L62" i="19"/>
  <c r="P61" i="19"/>
  <c r="O61" i="19"/>
  <c r="N61" i="19"/>
  <c r="M61" i="19"/>
  <c r="L61" i="19"/>
  <c r="P60" i="19"/>
  <c r="O60" i="19"/>
  <c r="N60" i="19"/>
  <c r="M60" i="19"/>
  <c r="L60" i="19"/>
  <c r="P59" i="19"/>
  <c r="O59" i="19"/>
  <c r="N59" i="19"/>
  <c r="M59" i="19"/>
  <c r="L59" i="19"/>
  <c r="P58" i="19"/>
  <c r="O58" i="19"/>
  <c r="N58" i="19"/>
  <c r="M58" i="19"/>
  <c r="L58" i="19"/>
  <c r="P57" i="19"/>
  <c r="O57" i="19"/>
  <c r="N57" i="19"/>
  <c r="M57" i="19"/>
  <c r="L57" i="19"/>
  <c r="P56" i="19"/>
  <c r="O56" i="19"/>
  <c r="N56" i="19"/>
  <c r="M56" i="19"/>
  <c r="L56" i="19"/>
  <c r="P55" i="19"/>
  <c r="O55" i="19"/>
  <c r="N55" i="19"/>
  <c r="M55" i="19"/>
  <c r="L55" i="19"/>
  <c r="P54" i="19"/>
  <c r="O54" i="19"/>
  <c r="N54" i="19"/>
  <c r="M54" i="19"/>
  <c r="L54" i="19"/>
  <c r="P53" i="19"/>
  <c r="O53" i="19"/>
  <c r="N53" i="19"/>
  <c r="M53" i="19"/>
  <c r="L53" i="19"/>
  <c r="P52" i="19"/>
  <c r="O52" i="19"/>
  <c r="N52" i="19"/>
  <c r="M52" i="19"/>
  <c r="L52" i="19"/>
  <c r="P51" i="19"/>
  <c r="O51" i="19"/>
  <c r="N51" i="19"/>
  <c r="M51" i="19"/>
  <c r="L51" i="19"/>
  <c r="P50" i="19"/>
  <c r="O50" i="19"/>
  <c r="N50" i="19"/>
  <c r="M50" i="19"/>
  <c r="L50" i="19"/>
  <c r="P49" i="19"/>
  <c r="O49" i="19"/>
  <c r="N49" i="19"/>
  <c r="M49" i="19"/>
  <c r="L49" i="19"/>
  <c r="P48" i="19"/>
  <c r="O48" i="19"/>
  <c r="N48" i="19"/>
  <c r="M48" i="19"/>
  <c r="L48" i="19"/>
  <c r="P47" i="19"/>
  <c r="O47" i="19"/>
  <c r="N47" i="19"/>
  <c r="M47" i="19"/>
  <c r="L47" i="19"/>
  <c r="P46" i="19"/>
  <c r="O46" i="19"/>
  <c r="N46" i="19"/>
  <c r="M46" i="19"/>
  <c r="L46" i="19"/>
  <c r="P45" i="19"/>
  <c r="O45" i="19"/>
  <c r="N45" i="19"/>
  <c r="M45" i="19"/>
  <c r="L45" i="19"/>
  <c r="P44" i="19"/>
  <c r="O44" i="19"/>
  <c r="N44" i="19"/>
  <c r="M44" i="19"/>
  <c r="L44" i="19"/>
  <c r="P43" i="19"/>
  <c r="O43" i="19"/>
  <c r="N43" i="19"/>
  <c r="M43" i="19"/>
  <c r="L43" i="19"/>
  <c r="P42" i="19"/>
  <c r="O42" i="19"/>
  <c r="N42" i="19"/>
  <c r="M42" i="19"/>
  <c r="L42" i="19"/>
  <c r="P41" i="19"/>
  <c r="O41" i="19"/>
  <c r="N41" i="19"/>
  <c r="M41" i="19"/>
  <c r="L41" i="19"/>
  <c r="P40" i="19"/>
  <c r="O40" i="19"/>
  <c r="N40" i="19"/>
  <c r="M40" i="19"/>
  <c r="L40" i="19"/>
  <c r="P39" i="19"/>
  <c r="O39" i="19"/>
  <c r="N39" i="19"/>
  <c r="M39" i="19"/>
  <c r="L39" i="19"/>
  <c r="P38" i="19"/>
  <c r="O38" i="19"/>
  <c r="N38" i="19"/>
  <c r="M38" i="19"/>
  <c r="L38" i="19"/>
  <c r="P37" i="19"/>
  <c r="O37" i="19"/>
  <c r="N37" i="19"/>
  <c r="M37" i="19"/>
  <c r="L37" i="19"/>
  <c r="P36" i="19"/>
  <c r="O36" i="19"/>
  <c r="N36" i="19"/>
  <c r="M36" i="19"/>
  <c r="L36" i="19"/>
  <c r="P35" i="19"/>
  <c r="O35" i="19"/>
  <c r="N35" i="19"/>
  <c r="M35" i="19"/>
  <c r="L35" i="19"/>
  <c r="P34" i="19"/>
  <c r="O34" i="19"/>
  <c r="N34" i="19"/>
  <c r="M34" i="19"/>
  <c r="L34" i="19"/>
  <c r="P33" i="19"/>
  <c r="O33" i="19"/>
  <c r="N33" i="19"/>
  <c r="M33" i="19"/>
  <c r="L33" i="19"/>
  <c r="P32" i="19"/>
  <c r="O32" i="19"/>
  <c r="N32" i="19"/>
  <c r="M32" i="19"/>
  <c r="L32" i="19"/>
  <c r="P31" i="19"/>
  <c r="O31" i="19"/>
  <c r="N31" i="19"/>
  <c r="M31" i="19"/>
  <c r="L31" i="19"/>
  <c r="P30" i="19"/>
  <c r="O30" i="19"/>
  <c r="N30" i="19"/>
  <c r="M30" i="19"/>
  <c r="L30" i="19"/>
  <c r="P29" i="19"/>
  <c r="O29" i="19"/>
  <c r="N29" i="19"/>
  <c r="M29" i="19"/>
  <c r="L29" i="19"/>
  <c r="P28" i="19"/>
  <c r="O28" i="19"/>
  <c r="N28" i="19"/>
  <c r="M28" i="19"/>
  <c r="L28" i="19"/>
  <c r="P27" i="19"/>
  <c r="O27" i="19"/>
  <c r="N27" i="19"/>
  <c r="M27" i="19"/>
  <c r="L27" i="19"/>
  <c r="P26" i="19"/>
  <c r="O26" i="19"/>
  <c r="N26" i="19"/>
  <c r="M26" i="19"/>
  <c r="L26" i="19"/>
  <c r="P25" i="19"/>
  <c r="O25" i="19"/>
  <c r="N25" i="19"/>
  <c r="M25" i="19"/>
  <c r="L25" i="19"/>
  <c r="P24" i="19"/>
  <c r="O24" i="19"/>
  <c r="N24" i="19"/>
  <c r="M24" i="19"/>
  <c r="L24" i="19"/>
  <c r="P23" i="19"/>
  <c r="O23" i="19"/>
  <c r="N23" i="19"/>
  <c r="M23" i="19"/>
  <c r="L23" i="19"/>
  <c r="P22" i="19"/>
  <c r="O22" i="19"/>
  <c r="N22" i="19"/>
  <c r="M22" i="19"/>
  <c r="L22" i="19"/>
  <c r="P21" i="19"/>
  <c r="O21" i="19"/>
  <c r="N21" i="19"/>
  <c r="M21" i="19"/>
  <c r="L21" i="19"/>
  <c r="P20" i="19"/>
  <c r="O20" i="19"/>
  <c r="N20" i="19"/>
  <c r="M20" i="19"/>
  <c r="L20" i="19"/>
  <c r="P19" i="19"/>
  <c r="O19" i="19"/>
  <c r="N19" i="19"/>
  <c r="M19" i="19"/>
  <c r="L19" i="19"/>
  <c r="P18" i="19"/>
  <c r="O18" i="19"/>
  <c r="N18" i="19"/>
  <c r="M18" i="19"/>
  <c r="L18" i="19"/>
  <c r="P17" i="19"/>
  <c r="O17" i="19"/>
  <c r="N17" i="19"/>
  <c r="M17" i="19"/>
  <c r="L17" i="19"/>
  <c r="P16" i="19"/>
  <c r="O16" i="19"/>
  <c r="N16" i="19"/>
  <c r="M16" i="19"/>
  <c r="L16" i="19"/>
  <c r="P14" i="19"/>
  <c r="O14" i="19"/>
  <c r="N14" i="19"/>
  <c r="M14" i="19"/>
  <c r="L14" i="19"/>
  <c r="P13" i="19"/>
  <c r="O13" i="19"/>
  <c r="N13" i="19"/>
  <c r="M13" i="19"/>
  <c r="L13" i="19"/>
  <c r="P12" i="19"/>
  <c r="O12" i="19"/>
  <c r="N12" i="19"/>
  <c r="M12" i="19"/>
  <c r="L12" i="19"/>
  <c r="P11" i="19"/>
  <c r="O11" i="19"/>
  <c r="N11" i="19"/>
  <c r="M11" i="19"/>
  <c r="L11" i="19"/>
  <c r="P10" i="19"/>
  <c r="O10" i="19"/>
  <c r="N10" i="19"/>
  <c r="M10" i="19"/>
  <c r="L10" i="19"/>
  <c r="P9" i="19"/>
  <c r="O9" i="19"/>
  <c r="N9" i="19"/>
  <c r="M9" i="19"/>
  <c r="L9" i="19"/>
  <c r="P8" i="19"/>
  <c r="O8" i="19"/>
  <c r="N8" i="19"/>
  <c r="G17" i="9" s="1"/>
  <c r="M8" i="19"/>
  <c r="L8" i="19"/>
  <c r="P7" i="19"/>
  <c r="O7" i="19"/>
  <c r="N7" i="19"/>
  <c r="M7" i="19"/>
  <c r="L7" i="19"/>
  <c r="B14" i="18"/>
  <c r="C8" i="22" s="1"/>
  <c r="B13" i="18"/>
  <c r="B27" i="17"/>
  <c r="B26" i="17"/>
  <c r="B25" i="17"/>
  <c r="I20" i="17"/>
  <c r="H20" i="17"/>
  <c r="F20" i="17"/>
  <c r="G20" i="17" s="1"/>
  <c r="E20" i="17"/>
  <c r="D20" i="17"/>
  <c r="C20" i="17"/>
  <c r="B20" i="17"/>
  <c r="J19" i="17"/>
  <c r="F19" i="17"/>
  <c r="G19" i="17" s="1"/>
  <c r="J18" i="17"/>
  <c r="G18" i="17"/>
  <c r="F18" i="17"/>
  <c r="J17" i="17"/>
  <c r="G17" i="17"/>
  <c r="F17" i="17"/>
  <c r="J16" i="17"/>
  <c r="G16" i="17"/>
  <c r="F16" i="17"/>
  <c r="J15" i="17"/>
  <c r="F15" i="17"/>
  <c r="G15" i="17" s="1"/>
  <c r="J14" i="17"/>
  <c r="F14" i="17"/>
  <c r="G14" i="17" s="1"/>
  <c r="J13" i="17"/>
  <c r="F13" i="17"/>
  <c r="G13" i="17" s="1"/>
  <c r="J12" i="17"/>
  <c r="G12" i="17"/>
  <c r="F12" i="17"/>
  <c r="J11" i="17"/>
  <c r="F11" i="17"/>
  <c r="G11" i="17" s="1"/>
  <c r="J10" i="17"/>
  <c r="G10" i="17"/>
  <c r="F10" i="17"/>
  <c r="J9" i="17"/>
  <c r="M15" i="17" s="1"/>
  <c r="G9" i="17"/>
  <c r="F9" i="17"/>
  <c r="J8" i="17"/>
  <c r="F8" i="17"/>
  <c r="G8" i="17" s="1"/>
  <c r="J7" i="17"/>
  <c r="F7" i="17"/>
  <c r="G7" i="17" s="1"/>
  <c r="G6" i="17"/>
  <c r="F6" i="17"/>
  <c r="J6" i="17" s="1"/>
  <c r="M19" i="17" s="1"/>
  <c r="J5" i="17"/>
  <c r="G5" i="17"/>
  <c r="F5" i="17"/>
  <c r="I20" i="16"/>
  <c r="J9" i="7" s="1"/>
  <c r="H20" i="16"/>
  <c r="D20" i="16"/>
  <c r="B20" i="16"/>
  <c r="J19" i="16"/>
  <c r="G19" i="16"/>
  <c r="F19" i="16"/>
  <c r="J18" i="16"/>
  <c r="F18" i="16"/>
  <c r="G18" i="16" s="1"/>
  <c r="J17" i="16"/>
  <c r="F17" i="16"/>
  <c r="G17" i="16" s="1"/>
  <c r="J16" i="16"/>
  <c r="G16" i="16"/>
  <c r="F16" i="16"/>
  <c r="J15" i="16"/>
  <c r="G15" i="16"/>
  <c r="F15" i="16"/>
  <c r="J14" i="16"/>
  <c r="G14" i="16"/>
  <c r="F14" i="16"/>
  <c r="J13" i="16"/>
  <c r="G13" i="16"/>
  <c r="F13" i="16"/>
  <c r="J12" i="16"/>
  <c r="F12" i="16"/>
  <c r="G12" i="16" s="1"/>
  <c r="J11" i="16"/>
  <c r="F11" i="16"/>
  <c r="G11" i="16" s="1"/>
  <c r="J10" i="16"/>
  <c r="G10" i="16"/>
  <c r="F10" i="16"/>
  <c r="J9" i="16"/>
  <c r="F9" i="16"/>
  <c r="G9" i="16" s="1"/>
  <c r="J8" i="16"/>
  <c r="G8" i="16"/>
  <c r="F8" i="16"/>
  <c r="J7" i="16"/>
  <c r="G7" i="16"/>
  <c r="F7" i="16"/>
  <c r="E6" i="16"/>
  <c r="F6" i="16" s="1"/>
  <c r="D6" i="16"/>
  <c r="C6" i="16"/>
  <c r="C20" i="16" s="1"/>
  <c r="J5" i="16"/>
  <c r="G5" i="16"/>
  <c r="F5" i="16"/>
  <c r="I20" i="15"/>
  <c r="B26" i="15" s="1"/>
  <c r="H20" i="15"/>
  <c r="E20" i="15"/>
  <c r="E8" i="11" s="1"/>
  <c r="G8" i="11" s="1"/>
  <c r="G33" i="11" s="1"/>
  <c r="D20" i="15"/>
  <c r="C20" i="15"/>
  <c r="B27" i="15" s="1"/>
  <c r="B20" i="15"/>
  <c r="J19" i="15"/>
  <c r="F19" i="15"/>
  <c r="G19" i="15" s="1"/>
  <c r="J18" i="15"/>
  <c r="F18" i="15"/>
  <c r="G18" i="15" s="1"/>
  <c r="J17" i="15"/>
  <c r="G17" i="15"/>
  <c r="F17" i="15"/>
  <c r="J16" i="15"/>
  <c r="F16" i="15"/>
  <c r="G16" i="15" s="1"/>
  <c r="J15" i="15"/>
  <c r="G15" i="15"/>
  <c r="F15" i="15"/>
  <c r="J14" i="15"/>
  <c r="G14" i="15"/>
  <c r="F14" i="15"/>
  <c r="J13" i="15"/>
  <c r="F13" i="15"/>
  <c r="G13" i="15" s="1"/>
  <c r="J12" i="15"/>
  <c r="F12" i="15"/>
  <c r="G12" i="15" s="1"/>
  <c r="J11" i="15"/>
  <c r="G11" i="15"/>
  <c r="F11" i="15"/>
  <c r="J10" i="15"/>
  <c r="G10" i="15"/>
  <c r="F10" i="15"/>
  <c r="J9" i="15"/>
  <c r="G9" i="15"/>
  <c r="F9" i="15"/>
  <c r="J8" i="15"/>
  <c r="G8" i="15"/>
  <c r="F8" i="15"/>
  <c r="J7" i="15"/>
  <c r="F7" i="15"/>
  <c r="G7" i="15" s="1"/>
  <c r="F6" i="15"/>
  <c r="F5" i="15"/>
  <c r="B23" i="13"/>
  <c r="I20" i="13"/>
  <c r="H20" i="13"/>
  <c r="E20" i="13"/>
  <c r="D20" i="13"/>
  <c r="C20" i="13"/>
  <c r="B27" i="13" s="1"/>
  <c r="B20" i="13"/>
  <c r="J19" i="13"/>
  <c r="F19" i="13"/>
  <c r="G19" i="13" s="1"/>
  <c r="J18" i="13"/>
  <c r="F18" i="13"/>
  <c r="G18" i="13" s="1"/>
  <c r="J17" i="13"/>
  <c r="F17" i="13"/>
  <c r="G17" i="13" s="1"/>
  <c r="J16" i="13"/>
  <c r="F16" i="13"/>
  <c r="G16" i="13" s="1"/>
  <c r="J15" i="13"/>
  <c r="G15" i="13"/>
  <c r="F15" i="13"/>
  <c r="F14" i="13"/>
  <c r="G14" i="13" s="1"/>
  <c r="J13" i="13"/>
  <c r="G13" i="13"/>
  <c r="F13" i="13"/>
  <c r="J12" i="13"/>
  <c r="G12" i="13"/>
  <c r="F12" i="13"/>
  <c r="F11" i="13"/>
  <c r="J11" i="13" s="1"/>
  <c r="F10" i="13"/>
  <c r="G9" i="13"/>
  <c r="F9" i="13"/>
  <c r="J9" i="13" s="1"/>
  <c r="J8" i="13"/>
  <c r="G8" i="13"/>
  <c r="F8" i="13"/>
  <c r="G7" i="13"/>
  <c r="F7" i="13"/>
  <c r="J6" i="13"/>
  <c r="F6" i="13"/>
  <c r="G6" i="13" s="1"/>
  <c r="J5" i="13"/>
  <c r="F5" i="13"/>
  <c r="G5" i="13" s="1"/>
  <c r="I18" i="12"/>
  <c r="H18" i="12"/>
  <c r="B24" i="12" s="1"/>
  <c r="B18" i="12"/>
  <c r="J17" i="12"/>
  <c r="G17" i="12"/>
  <c r="F17" i="12"/>
  <c r="J16" i="12"/>
  <c r="G16" i="12"/>
  <c r="F16" i="12"/>
  <c r="J15" i="12"/>
  <c r="G15" i="12"/>
  <c r="F15" i="12"/>
  <c r="J14" i="12"/>
  <c r="G14" i="12"/>
  <c r="F14" i="12"/>
  <c r="J13" i="12"/>
  <c r="F13" i="12"/>
  <c r="G13" i="12" s="1"/>
  <c r="F12" i="12"/>
  <c r="F11" i="12"/>
  <c r="J11" i="12" s="1"/>
  <c r="J10" i="12"/>
  <c r="F10" i="12"/>
  <c r="G10" i="12" s="1"/>
  <c r="J9" i="12"/>
  <c r="F9" i="12"/>
  <c r="G9" i="12" s="1"/>
  <c r="J8" i="12"/>
  <c r="G8" i="12"/>
  <c r="F8" i="12"/>
  <c r="F7" i="12"/>
  <c r="J7" i="12" s="1"/>
  <c r="E6" i="12"/>
  <c r="F6" i="12" s="1"/>
  <c r="D6" i="12"/>
  <c r="D18" i="12" s="1"/>
  <c r="C6" i="12"/>
  <c r="C18" i="12" s="1"/>
  <c r="C5" i="11" s="1"/>
  <c r="J5" i="12"/>
  <c r="G5" i="12"/>
  <c r="F5" i="12"/>
  <c r="A36" i="11"/>
  <c r="G35" i="11"/>
  <c r="E35" i="11"/>
  <c r="D35" i="11"/>
  <c r="A35" i="11"/>
  <c r="A34" i="11"/>
  <c r="C33" i="11"/>
  <c r="B33" i="11"/>
  <c r="A33" i="11"/>
  <c r="A32" i="11"/>
  <c r="E31" i="11"/>
  <c r="D31" i="11"/>
  <c r="A31" i="11"/>
  <c r="D30" i="11"/>
  <c r="A30" i="11"/>
  <c r="K11" i="11"/>
  <c r="D36" i="11" s="1"/>
  <c r="O10" i="11"/>
  <c r="N10" i="11"/>
  <c r="K10" i="11"/>
  <c r="J10" i="11"/>
  <c r="L10" i="11" s="1"/>
  <c r="F35" i="11" s="1"/>
  <c r="G10" i="11"/>
  <c r="H10" i="11" s="1"/>
  <c r="F10" i="11"/>
  <c r="E10" i="11"/>
  <c r="C35" i="11" s="1"/>
  <c r="D10" i="11"/>
  <c r="B35" i="11" s="1"/>
  <c r="C10" i="11"/>
  <c r="K9" i="11"/>
  <c r="D34" i="11" s="1"/>
  <c r="J9" i="11"/>
  <c r="E34" i="11" s="1"/>
  <c r="L8" i="11"/>
  <c r="F33" i="11" s="1"/>
  <c r="K8" i="11"/>
  <c r="D33" i="11" s="1"/>
  <c r="J8" i="11"/>
  <c r="E33" i="11" s="1"/>
  <c r="D8" i="11"/>
  <c r="C8" i="11"/>
  <c r="N8" i="11" s="1"/>
  <c r="L7" i="11"/>
  <c r="F32" i="11" s="1"/>
  <c r="K7" i="11"/>
  <c r="D32" i="11" s="1"/>
  <c r="J7" i="11"/>
  <c r="E32" i="11" s="1"/>
  <c r="C7" i="11"/>
  <c r="K6" i="11"/>
  <c r="J6" i="11"/>
  <c r="L6" i="11" s="1"/>
  <c r="F31" i="11" s="1"/>
  <c r="E6" i="11"/>
  <c r="C31" i="11" s="1"/>
  <c r="L5" i="11"/>
  <c r="F30" i="11" s="1"/>
  <c r="K5" i="11"/>
  <c r="J5" i="11"/>
  <c r="E30" i="11" s="1"/>
  <c r="D33" i="10"/>
  <c r="C33" i="10"/>
  <c r="D32" i="10"/>
  <c r="C32" i="10"/>
  <c r="E32" i="10" s="1"/>
  <c r="D31" i="10"/>
  <c r="C31" i="10"/>
  <c r="E31" i="10" s="1"/>
  <c r="D30" i="10"/>
  <c r="C30" i="10"/>
  <c r="E30" i="10" s="1"/>
  <c r="D29" i="10"/>
  <c r="C29" i="10"/>
  <c r="E29" i="10" s="1"/>
  <c r="D28" i="10"/>
  <c r="C28" i="10"/>
  <c r="D27" i="10"/>
  <c r="E27" i="10" s="1"/>
  <c r="D26" i="10"/>
  <c r="E26" i="10" s="1"/>
  <c r="E4" i="9"/>
  <c r="J30" i="8"/>
  <c r="E30" i="8"/>
  <c r="G30" i="8" s="1"/>
  <c r="D30" i="8"/>
  <c r="J29" i="8"/>
  <c r="F29" i="8"/>
  <c r="E29" i="8"/>
  <c r="D29" i="8"/>
  <c r="B29" i="8"/>
  <c r="J28" i="8"/>
  <c r="E28" i="8"/>
  <c r="G28" i="8" s="1"/>
  <c r="D28" i="8"/>
  <c r="J27" i="8"/>
  <c r="G27" i="8"/>
  <c r="D27" i="8"/>
  <c r="F24" i="8"/>
  <c r="F23" i="8"/>
  <c r="E23" i="8"/>
  <c r="F22" i="8"/>
  <c r="E22" i="8"/>
  <c r="F21" i="8"/>
  <c r="H18" i="8"/>
  <c r="G18" i="8"/>
  <c r="D18" i="8"/>
  <c r="J18" i="8" s="1"/>
  <c r="C18" i="8"/>
  <c r="I17" i="8"/>
  <c r="H17" i="8"/>
  <c r="G17" i="8"/>
  <c r="J17" i="8"/>
  <c r="C17" i="8"/>
  <c r="I16" i="8"/>
  <c r="H16" i="8"/>
  <c r="G16" i="8"/>
  <c r="J16" i="8"/>
  <c r="C16" i="8"/>
  <c r="I15" i="8"/>
  <c r="H15" i="8"/>
  <c r="G15" i="8"/>
  <c r="D15" i="8"/>
  <c r="J15" i="8" s="1"/>
  <c r="C15" i="8"/>
  <c r="H14" i="8"/>
  <c r="G14" i="8"/>
  <c r="D14" i="8"/>
  <c r="J14" i="8" s="1"/>
  <c r="C14" i="8"/>
  <c r="I13" i="8"/>
  <c r="H13" i="8"/>
  <c r="G13" i="8"/>
  <c r="D13" i="8"/>
  <c r="J13" i="8" s="1"/>
  <c r="C13" i="8"/>
  <c r="H12" i="8"/>
  <c r="G12" i="8"/>
  <c r="D12" i="8"/>
  <c r="J12" i="8" s="1"/>
  <c r="C12" i="8"/>
  <c r="I11" i="8"/>
  <c r="H11" i="8"/>
  <c r="G11" i="8"/>
  <c r="D11" i="8"/>
  <c r="J11" i="8" s="1"/>
  <c r="C11" i="8"/>
  <c r="I10" i="8"/>
  <c r="H10" i="8"/>
  <c r="G10" i="8"/>
  <c r="D10" i="8"/>
  <c r="J10" i="8" s="1"/>
  <c r="C10" i="8"/>
  <c r="I9" i="8"/>
  <c r="H9" i="8"/>
  <c r="G9" i="8"/>
  <c r="D9" i="8"/>
  <c r="J9" i="8" s="1"/>
  <c r="C9" i="8"/>
  <c r="I8" i="8"/>
  <c r="H8" i="8"/>
  <c r="G8" i="8"/>
  <c r="D8" i="8"/>
  <c r="J8" i="8" s="1"/>
  <c r="C8" i="8"/>
  <c r="I7" i="8"/>
  <c r="H7" i="8"/>
  <c r="G7" i="8"/>
  <c r="D7" i="8"/>
  <c r="J7" i="8" s="1"/>
  <c r="C7" i="8"/>
  <c r="E21" i="8" s="1"/>
  <c r="G11" i="7"/>
  <c r="C11" i="7"/>
  <c r="J10" i="7"/>
  <c r="I10" i="7"/>
  <c r="G10" i="7"/>
  <c r="D10" i="7"/>
  <c r="I9" i="7"/>
  <c r="G9" i="7"/>
  <c r="J8" i="7"/>
  <c r="I8" i="7"/>
  <c r="G8" i="7"/>
  <c r="D8" i="7"/>
  <c r="G7" i="7"/>
  <c r="J6" i="7"/>
  <c r="G6" i="7"/>
  <c r="J5" i="7"/>
  <c r="I5" i="7"/>
  <c r="G5" i="7"/>
  <c r="E25" i="6"/>
  <c r="E24" i="6"/>
  <c r="E23" i="6"/>
  <c r="E22" i="6"/>
  <c r="E21" i="6"/>
  <c r="E20" i="6"/>
  <c r="E19" i="6"/>
  <c r="E18" i="6"/>
  <c r="E17" i="6"/>
  <c r="E16" i="6"/>
  <c r="E15" i="6"/>
  <c r="E14" i="6"/>
  <c r="F11" i="6"/>
  <c r="D11" i="6"/>
  <c r="F10" i="6"/>
  <c r="D10" i="6"/>
  <c r="F9" i="6"/>
  <c r="D9" i="6"/>
  <c r="F8" i="6"/>
  <c r="D8" i="6"/>
  <c r="F7" i="6"/>
  <c r="D7" i="6"/>
  <c r="F6" i="6"/>
  <c r="D6" i="6"/>
  <c r="F5" i="6"/>
  <c r="D5" i="6"/>
  <c r="G11" i="5"/>
  <c r="C11" i="5"/>
  <c r="C14" i="5" s="1"/>
  <c r="B11" i="5"/>
  <c r="B12" i="5" s="1"/>
  <c r="L10" i="5"/>
  <c r="K10" i="5"/>
  <c r="J10" i="5"/>
  <c r="H10" i="5"/>
  <c r="G10" i="5"/>
  <c r="D10" i="5"/>
  <c r="G9" i="5"/>
  <c r="D9" i="5"/>
  <c r="K8" i="5"/>
  <c r="J8" i="5"/>
  <c r="H8" i="5"/>
  <c r="G8" i="5"/>
  <c r="D8" i="5"/>
  <c r="K7" i="5"/>
  <c r="G7" i="5"/>
  <c r="D7" i="5"/>
  <c r="K6" i="5"/>
  <c r="J6" i="5"/>
  <c r="L6" i="5" s="1"/>
  <c r="G6" i="5"/>
  <c r="D6" i="5"/>
  <c r="H5" i="5"/>
  <c r="G5" i="5"/>
  <c r="D5" i="5"/>
  <c r="D27" i="4"/>
  <c r="C27" i="4"/>
  <c r="E27" i="4" s="1"/>
  <c r="H26" i="4"/>
  <c r="G26" i="4"/>
  <c r="E26" i="4"/>
  <c r="H25" i="4"/>
  <c r="G25" i="4"/>
  <c r="E25" i="4"/>
  <c r="H24" i="4"/>
  <c r="E24" i="4"/>
  <c r="H23" i="4"/>
  <c r="G23" i="4"/>
  <c r="E23" i="4"/>
  <c r="H22" i="4"/>
  <c r="G22" i="4"/>
  <c r="E22" i="4"/>
  <c r="H21" i="4"/>
  <c r="G21" i="4"/>
  <c r="E21" i="4"/>
  <c r="H20" i="4"/>
  <c r="G20" i="4"/>
  <c r="E20" i="4"/>
  <c r="H19" i="4"/>
  <c r="G19" i="4"/>
  <c r="E19" i="4"/>
  <c r="H18" i="4"/>
  <c r="G18" i="4"/>
  <c r="E18" i="4"/>
  <c r="H17" i="4"/>
  <c r="G17" i="4"/>
  <c r="E17" i="4"/>
  <c r="H16" i="4"/>
  <c r="G16" i="4"/>
  <c r="E16" i="4"/>
  <c r="H15" i="4"/>
  <c r="G15" i="4"/>
  <c r="E15" i="4"/>
  <c r="G12" i="4"/>
  <c r="D12" i="4"/>
  <c r="G11" i="4"/>
  <c r="D11" i="4"/>
  <c r="G10" i="4"/>
  <c r="D10" i="4"/>
  <c r="G9" i="4"/>
  <c r="D9" i="4"/>
  <c r="G8" i="4"/>
  <c r="D8" i="4"/>
  <c r="G7" i="4"/>
  <c r="D7" i="4"/>
  <c r="B24" i="3"/>
  <c r="C23" i="3"/>
  <c r="D22" i="3"/>
  <c r="C22" i="3"/>
  <c r="D21" i="3"/>
  <c r="C21" i="3"/>
  <c r="D20" i="3"/>
  <c r="C20" i="3"/>
  <c r="D19" i="3"/>
  <c r="C19" i="3"/>
  <c r="C16" i="3"/>
  <c r="C15" i="3"/>
  <c r="C12" i="3"/>
  <c r="B8" i="3"/>
  <c r="E7" i="3"/>
  <c r="I6" i="3"/>
  <c r="H6" i="3"/>
  <c r="G6" i="3"/>
  <c r="I5" i="3"/>
  <c r="H5" i="3"/>
  <c r="G5" i="3"/>
  <c r="G11" i="2"/>
  <c r="F11" i="2"/>
  <c r="E11" i="2"/>
  <c r="D11" i="2"/>
  <c r="F10" i="2"/>
  <c r="G10" i="2" s="1"/>
  <c r="E10" i="2"/>
  <c r="D10" i="2"/>
  <c r="F9" i="2"/>
  <c r="G9" i="2" s="1"/>
  <c r="E9" i="2"/>
  <c r="F8" i="2"/>
  <c r="G8" i="2" s="1"/>
  <c r="E8" i="2"/>
  <c r="D8" i="2"/>
  <c r="F7" i="2"/>
  <c r="G7" i="2" s="1"/>
  <c r="E7" i="2"/>
  <c r="D7" i="2"/>
  <c r="F5" i="2"/>
  <c r="G5" i="2" s="1"/>
  <c r="E5" i="2"/>
  <c r="D5" i="2"/>
  <c r="I20" i="14"/>
  <c r="J7" i="7" s="1"/>
  <c r="J11" i="7" s="1"/>
  <c r="H20" i="14"/>
  <c r="I7" i="7" s="1"/>
  <c r="E20" i="14"/>
  <c r="E7" i="11" s="1"/>
  <c r="B20" i="14"/>
  <c r="J19" i="14"/>
  <c r="G19" i="14"/>
  <c r="F19" i="14"/>
  <c r="J18" i="14"/>
  <c r="F18" i="14"/>
  <c r="G18" i="14" s="1"/>
  <c r="J17" i="14"/>
  <c r="F17" i="14"/>
  <c r="G17" i="14" s="1"/>
  <c r="J16" i="14"/>
  <c r="G16" i="14"/>
  <c r="F16" i="14"/>
  <c r="J15" i="14"/>
  <c r="F15" i="14"/>
  <c r="G15" i="14" s="1"/>
  <c r="J14" i="14"/>
  <c r="G14" i="14"/>
  <c r="F14" i="14"/>
  <c r="J13" i="14"/>
  <c r="G13" i="14"/>
  <c r="F13" i="14"/>
  <c r="J12" i="14"/>
  <c r="G12" i="14"/>
  <c r="F12" i="14"/>
  <c r="E11" i="14"/>
  <c r="D11" i="14"/>
  <c r="D20" i="14" s="1"/>
  <c r="J7" i="5" s="1"/>
  <c r="L7" i="5" s="1"/>
  <c r="C11" i="14"/>
  <c r="C20" i="14" s="1"/>
  <c r="H7" i="5" s="1"/>
  <c r="J10" i="14"/>
  <c r="G10" i="14"/>
  <c r="F10" i="14"/>
  <c r="J9" i="14"/>
  <c r="G9" i="14"/>
  <c r="F9" i="14"/>
  <c r="J8" i="14"/>
  <c r="G8" i="14"/>
  <c r="F8" i="14"/>
  <c r="J7" i="14"/>
  <c r="G7" i="14"/>
  <c r="F7" i="14"/>
  <c r="J6" i="14"/>
  <c r="F6" i="14"/>
  <c r="G6" i="14" s="1"/>
  <c r="F5" i="14"/>
  <c r="J5" i="14" s="1"/>
  <c r="K19" i="10" l="1"/>
  <c r="I9" i="10"/>
  <c r="E28" i="10"/>
  <c r="C9" i="9"/>
  <c r="L11" i="9"/>
  <c r="E21" i="9"/>
  <c r="H21" i="9"/>
  <c r="J10" i="10"/>
  <c r="H21" i="10"/>
  <c r="D11" i="9"/>
  <c r="G9" i="10"/>
  <c r="D11" i="10"/>
  <c r="E12" i="10"/>
  <c r="F12" i="10"/>
  <c r="J9" i="9"/>
  <c r="C20" i="9"/>
  <c r="E17" i="10"/>
  <c r="K9" i="9"/>
  <c r="D20" i="9"/>
  <c r="H17" i="10"/>
  <c r="D34" i="10"/>
  <c r="E34" i="10" s="1"/>
  <c r="D8" i="9"/>
  <c r="E18" i="9"/>
  <c r="I8" i="9"/>
  <c r="H18" i="9"/>
  <c r="B19" i="9"/>
  <c r="L10" i="9"/>
  <c r="J20" i="9"/>
  <c r="I18" i="10"/>
  <c r="J18" i="10"/>
  <c r="E12" i="9"/>
  <c r="E8" i="10"/>
  <c r="B20" i="10"/>
  <c r="F12" i="9"/>
  <c r="F8" i="10"/>
  <c r="C21" i="10"/>
  <c r="E17" i="9"/>
  <c r="B12" i="9"/>
  <c r="H10" i="10"/>
  <c r="I19" i="9"/>
  <c r="J19" i="10"/>
  <c r="D21" i="9"/>
  <c r="L20" i="10"/>
  <c r="G29" i="8"/>
  <c r="D11" i="5"/>
  <c r="C24" i="3"/>
  <c r="B22" i="12"/>
  <c r="B21" i="12"/>
  <c r="J6" i="12"/>
  <c r="G6" i="12"/>
  <c r="D9" i="7"/>
  <c r="I9" i="11"/>
  <c r="D5" i="7"/>
  <c r="I5" i="11"/>
  <c r="P15" i="17"/>
  <c r="O15" i="17"/>
  <c r="N15" i="17"/>
  <c r="O19" i="17"/>
  <c r="N19" i="17"/>
  <c r="P19" i="17"/>
  <c r="C6" i="11"/>
  <c r="E18" i="12"/>
  <c r="B24" i="15"/>
  <c r="J5" i="15"/>
  <c r="M8" i="17"/>
  <c r="M13" i="17"/>
  <c r="M18" i="17"/>
  <c r="M6" i="17"/>
  <c r="M11" i="17"/>
  <c r="M9" i="17"/>
  <c r="M12" i="17"/>
  <c r="M17" i="17"/>
  <c r="M5" i="17"/>
  <c r="D12" i="10"/>
  <c r="C11" i="10"/>
  <c r="B10" i="10"/>
  <c r="L8" i="10"/>
  <c r="C12" i="10"/>
  <c r="B11" i="10"/>
  <c r="L9" i="10"/>
  <c r="K8" i="10"/>
  <c r="B12" i="10"/>
  <c r="L10" i="10"/>
  <c r="K9" i="10"/>
  <c r="J8" i="10"/>
  <c r="L11" i="10"/>
  <c r="K10" i="10"/>
  <c r="J9" i="10"/>
  <c r="I8" i="10"/>
  <c r="K12" i="10"/>
  <c r="J11" i="10"/>
  <c r="I10" i="10"/>
  <c r="H9" i="10"/>
  <c r="G8" i="10"/>
  <c r="H12" i="10"/>
  <c r="G11" i="10"/>
  <c r="F10" i="10"/>
  <c r="E9" i="10"/>
  <c r="D8" i="10"/>
  <c r="G12" i="10"/>
  <c r="F11" i="10"/>
  <c r="E10" i="10"/>
  <c r="D9" i="10"/>
  <c r="C8" i="10"/>
  <c r="G5" i="14"/>
  <c r="B25" i="14"/>
  <c r="I14" i="8"/>
  <c r="J8" i="9"/>
  <c r="E11" i="9"/>
  <c r="L17" i="9"/>
  <c r="G20" i="9"/>
  <c r="H8" i="10"/>
  <c r="E11" i="10"/>
  <c r="I17" i="10"/>
  <c r="G20" i="10"/>
  <c r="O8" i="11"/>
  <c r="J10" i="13"/>
  <c r="G10" i="13"/>
  <c r="G5" i="15"/>
  <c r="M16" i="16"/>
  <c r="M7" i="16"/>
  <c r="M10" i="16"/>
  <c r="M14" i="17"/>
  <c r="B27" i="14"/>
  <c r="H6" i="5"/>
  <c r="L8" i="5"/>
  <c r="B9" i="9"/>
  <c r="G11" i="9"/>
  <c r="B18" i="9"/>
  <c r="H20" i="9"/>
  <c r="B9" i="10"/>
  <c r="H11" i="10"/>
  <c r="K17" i="10"/>
  <c r="H20" i="10"/>
  <c r="E33" i="10"/>
  <c r="I10" i="11"/>
  <c r="B24" i="13"/>
  <c r="J7" i="13"/>
  <c r="I7" i="11"/>
  <c r="D7" i="7"/>
  <c r="B23" i="12"/>
  <c r="D5" i="11"/>
  <c r="J5" i="5"/>
  <c r="I12" i="8"/>
  <c r="C9" i="10"/>
  <c r="I11" i="10"/>
  <c r="E18" i="10"/>
  <c r="K20" i="10"/>
  <c r="F11" i="14"/>
  <c r="E9" i="9"/>
  <c r="F18" i="9"/>
  <c r="F9" i="10"/>
  <c r="K11" i="10"/>
  <c r="F18" i="10"/>
  <c r="C35" i="10"/>
  <c r="J6" i="15"/>
  <c r="G6" i="15"/>
  <c r="H9" i="5"/>
  <c r="B27" i="16"/>
  <c r="C9" i="11"/>
  <c r="C11" i="11" s="1"/>
  <c r="B25" i="12"/>
  <c r="D9" i="11"/>
  <c r="B25" i="16"/>
  <c r="L12" i="9"/>
  <c r="K11" i="9"/>
  <c r="J10" i="9"/>
  <c r="I9" i="9"/>
  <c r="H8" i="9"/>
  <c r="K12" i="9"/>
  <c r="J11" i="9"/>
  <c r="I10" i="9"/>
  <c r="G8" i="9"/>
  <c r="J12" i="9"/>
  <c r="I11" i="9"/>
  <c r="H10" i="9"/>
  <c r="F8" i="9"/>
  <c r="I12" i="9"/>
  <c r="H11" i="9"/>
  <c r="G10" i="9"/>
  <c r="F9" i="9"/>
  <c r="E8" i="9"/>
  <c r="G12" i="9"/>
  <c r="F11" i="9"/>
  <c r="E10" i="9"/>
  <c r="D9" i="9"/>
  <c r="C8" i="9"/>
  <c r="D12" i="9"/>
  <c r="C11" i="9"/>
  <c r="B10" i="9"/>
  <c r="L8" i="9"/>
  <c r="C12" i="9"/>
  <c r="B11" i="9"/>
  <c r="L9" i="9"/>
  <c r="K8" i="9"/>
  <c r="F8" i="11"/>
  <c r="J14" i="13"/>
  <c r="M11" i="13" s="1"/>
  <c r="B25" i="13"/>
  <c r="D6" i="11"/>
  <c r="F20" i="15"/>
  <c r="G20" i="15" s="1"/>
  <c r="J6" i="16"/>
  <c r="M18" i="16" s="1"/>
  <c r="G6" i="16"/>
  <c r="B23" i="16"/>
  <c r="E20" i="16"/>
  <c r="C21" i="9"/>
  <c r="B20" i="9"/>
  <c r="L18" i="9"/>
  <c r="K17" i="9"/>
  <c r="B21" i="9"/>
  <c r="L19" i="9"/>
  <c r="K18" i="9"/>
  <c r="L20" i="9"/>
  <c r="K19" i="9"/>
  <c r="J18" i="9"/>
  <c r="L21" i="9"/>
  <c r="K20" i="9"/>
  <c r="J19" i="9"/>
  <c r="I18" i="9"/>
  <c r="H17" i="9"/>
  <c r="I20" i="9"/>
  <c r="H19" i="9"/>
  <c r="G18" i="9"/>
  <c r="F17" i="9"/>
  <c r="F20" i="9"/>
  <c r="E19" i="9"/>
  <c r="D18" i="9"/>
  <c r="C17" i="9"/>
  <c r="F21" i="9"/>
  <c r="E20" i="9"/>
  <c r="D19" i="9"/>
  <c r="C18" i="9"/>
  <c r="B17" i="9"/>
  <c r="G21" i="10"/>
  <c r="F20" i="10"/>
  <c r="E19" i="10"/>
  <c r="D18" i="10"/>
  <c r="C17" i="10"/>
  <c r="F21" i="10"/>
  <c r="E20" i="10"/>
  <c r="D19" i="10"/>
  <c r="C18" i="10"/>
  <c r="B17" i="10"/>
  <c r="E21" i="10"/>
  <c r="D20" i="10"/>
  <c r="C19" i="10"/>
  <c r="B18" i="10"/>
  <c r="D21" i="10"/>
  <c r="C20" i="10"/>
  <c r="B19" i="10"/>
  <c r="L17" i="10"/>
  <c r="B21" i="10"/>
  <c r="L19" i="10"/>
  <c r="K18" i="10"/>
  <c r="J17" i="10"/>
  <c r="K21" i="10"/>
  <c r="J20" i="10"/>
  <c r="I19" i="10"/>
  <c r="H18" i="10"/>
  <c r="G17" i="10"/>
  <c r="J21" i="10"/>
  <c r="I20" i="10"/>
  <c r="H19" i="10"/>
  <c r="G18" i="10"/>
  <c r="F17" i="10"/>
  <c r="G7" i="11"/>
  <c r="C32" i="11"/>
  <c r="C28" i="4"/>
  <c r="J9" i="5"/>
  <c r="C10" i="9"/>
  <c r="H12" i="9"/>
  <c r="C19" i="9"/>
  <c r="C10" i="10"/>
  <c r="I12" i="10"/>
  <c r="L18" i="10"/>
  <c r="I21" i="10"/>
  <c r="H8" i="11"/>
  <c r="L9" i="11"/>
  <c r="F34" i="11" s="1"/>
  <c r="G11" i="12"/>
  <c r="F20" i="13"/>
  <c r="G20" i="13" s="1"/>
  <c r="B26" i="16"/>
  <c r="F20" i="14"/>
  <c r="G20" i="14" s="1"/>
  <c r="D10" i="9"/>
  <c r="F19" i="9"/>
  <c r="D10" i="10"/>
  <c r="J12" i="10"/>
  <c r="F19" i="10"/>
  <c r="L21" i="10"/>
  <c r="I8" i="11"/>
  <c r="M7" i="12"/>
  <c r="M12" i="12"/>
  <c r="M17" i="12"/>
  <c r="M10" i="12"/>
  <c r="M8" i="12"/>
  <c r="M5" i="12"/>
  <c r="M11" i="12"/>
  <c r="M16" i="12"/>
  <c r="M14" i="12"/>
  <c r="M7" i="17"/>
  <c r="I18" i="8"/>
  <c r="F10" i="9"/>
  <c r="G19" i="9"/>
  <c r="G10" i="10"/>
  <c r="L12" i="10"/>
  <c r="G19" i="10"/>
  <c r="N7" i="11"/>
  <c r="I6" i="7"/>
  <c r="B11" i="7" s="1"/>
  <c r="B26" i="13"/>
  <c r="B23" i="15"/>
  <c r="B24" i="16"/>
  <c r="B23" i="17"/>
  <c r="B26" i="14"/>
  <c r="H11" i="5"/>
  <c r="I7" i="5" s="1"/>
  <c r="B8" i="9"/>
  <c r="K10" i="9"/>
  <c r="D17" i="9"/>
  <c r="B8" i="10"/>
  <c r="D17" i="10"/>
  <c r="D7" i="11"/>
  <c r="J12" i="12"/>
  <c r="M15" i="12" s="1"/>
  <c r="G12" i="12"/>
  <c r="B25" i="15"/>
  <c r="M10" i="17"/>
  <c r="M16" i="17"/>
  <c r="B24" i="17"/>
  <c r="E24" i="8"/>
  <c r="B32" i="8"/>
  <c r="G7" i="12"/>
  <c r="G11" i="13"/>
  <c r="G22" i="9" l="1"/>
  <c r="H22" i="9"/>
  <c r="H25" i="9" s="1"/>
  <c r="H22" i="10"/>
  <c r="P11" i="13"/>
  <c r="O11" i="13"/>
  <c r="N11" i="13"/>
  <c r="C14" i="11"/>
  <c r="P15" i="12"/>
  <c r="O15" i="12"/>
  <c r="N15" i="12"/>
  <c r="B12" i="7"/>
  <c r="D11" i="7"/>
  <c r="H8" i="7"/>
  <c r="H10" i="7"/>
  <c r="H9" i="7"/>
  <c r="H7" i="7"/>
  <c r="H5" i="7"/>
  <c r="P18" i="16"/>
  <c r="N18" i="16"/>
  <c r="O18" i="16"/>
  <c r="P7" i="16"/>
  <c r="O7" i="16"/>
  <c r="N7" i="16"/>
  <c r="O6" i="17"/>
  <c r="N6" i="17"/>
  <c r="P6" i="17"/>
  <c r="G13" i="9"/>
  <c r="M19" i="16"/>
  <c r="O18" i="17"/>
  <c r="N18" i="17"/>
  <c r="P18" i="17"/>
  <c r="N12" i="12"/>
  <c r="O12" i="12"/>
  <c r="P12" i="12"/>
  <c r="M8" i="16"/>
  <c r="J11" i="14"/>
  <c r="G11" i="14"/>
  <c r="M9" i="16"/>
  <c r="N13" i="17"/>
  <c r="P13" i="17"/>
  <c r="O13" i="17"/>
  <c r="M9" i="12"/>
  <c r="P8" i="12"/>
  <c r="O8" i="12"/>
  <c r="N8" i="12"/>
  <c r="B30" i="11"/>
  <c r="D11" i="11"/>
  <c r="N11" i="11" s="1"/>
  <c r="G32" i="11"/>
  <c r="H7" i="11"/>
  <c r="O7" i="11"/>
  <c r="B34" i="11"/>
  <c r="F9" i="11"/>
  <c r="H13" i="5"/>
  <c r="I10" i="5"/>
  <c r="O10" i="17"/>
  <c r="N10" i="17"/>
  <c r="P10" i="17"/>
  <c r="I5" i="5"/>
  <c r="P7" i="12"/>
  <c r="O7" i="12"/>
  <c r="N7" i="12"/>
  <c r="M8" i="13"/>
  <c r="N9" i="11"/>
  <c r="M10" i="13"/>
  <c r="O16" i="16"/>
  <c r="N16" i="16"/>
  <c r="P16" i="16"/>
  <c r="H13" i="10"/>
  <c r="P8" i="17"/>
  <c r="O8" i="17"/>
  <c r="N8" i="17"/>
  <c r="M15" i="13"/>
  <c r="M18" i="13"/>
  <c r="M5" i="13"/>
  <c r="M17" i="13"/>
  <c r="M19" i="13"/>
  <c r="M13" i="13"/>
  <c r="M6" i="13"/>
  <c r="M11" i="16"/>
  <c r="M13" i="15"/>
  <c r="M18" i="15"/>
  <c r="M6" i="15"/>
  <c r="M11" i="15"/>
  <c r="M16" i="15"/>
  <c r="M14" i="15"/>
  <c r="M17" i="15"/>
  <c r="M5" i="15"/>
  <c r="M10" i="15"/>
  <c r="M15" i="15"/>
  <c r="M7" i="15"/>
  <c r="M12" i="15"/>
  <c r="M9" i="15"/>
  <c r="M8" i="15"/>
  <c r="M19" i="15"/>
  <c r="I9" i="5"/>
  <c r="M6" i="16"/>
  <c r="O17" i="12"/>
  <c r="N17" i="12"/>
  <c r="P17" i="12"/>
  <c r="P16" i="17"/>
  <c r="O16" i="17"/>
  <c r="N16" i="17"/>
  <c r="I11" i="7"/>
  <c r="M12" i="13"/>
  <c r="F20" i="16"/>
  <c r="G20" i="16" s="1"/>
  <c r="K9" i="5"/>
  <c r="E9" i="11"/>
  <c r="O7" i="17"/>
  <c r="P7" i="17"/>
  <c r="N7" i="17"/>
  <c r="M14" i="13"/>
  <c r="G22" i="10"/>
  <c r="H13" i="9"/>
  <c r="H24" i="9" s="1"/>
  <c r="M6" i="12"/>
  <c r="E5" i="11"/>
  <c r="K5" i="5"/>
  <c r="F18" i="12"/>
  <c r="G18" i="12" s="1"/>
  <c r="P11" i="17"/>
  <c r="O11" i="17"/>
  <c r="N11" i="17"/>
  <c r="P10" i="12"/>
  <c r="O10" i="12"/>
  <c r="N10" i="12"/>
  <c r="P14" i="12"/>
  <c r="O14" i="12"/>
  <c r="N14" i="12"/>
  <c r="M9" i="13"/>
  <c r="I6" i="5"/>
  <c r="N5" i="17"/>
  <c r="P5" i="17"/>
  <c r="O5" i="17"/>
  <c r="N6" i="11"/>
  <c r="M13" i="12"/>
  <c r="N5" i="11"/>
  <c r="M16" i="13"/>
  <c r="M12" i="16"/>
  <c r="M17" i="16"/>
  <c r="M14" i="16"/>
  <c r="M5" i="16"/>
  <c r="M13" i="16"/>
  <c r="B24" i="14"/>
  <c r="N17" i="17"/>
  <c r="P17" i="17"/>
  <c r="O17" i="17"/>
  <c r="B32" i="11"/>
  <c r="F7" i="11"/>
  <c r="N16" i="12"/>
  <c r="P16" i="12"/>
  <c r="O16" i="12"/>
  <c r="P11" i="12"/>
  <c r="O11" i="12"/>
  <c r="N11" i="12"/>
  <c r="L9" i="5"/>
  <c r="B23" i="14"/>
  <c r="P14" i="17"/>
  <c r="N14" i="17"/>
  <c r="O14" i="17"/>
  <c r="P12" i="17"/>
  <c r="O12" i="17"/>
  <c r="N12" i="17"/>
  <c r="P10" i="16"/>
  <c r="N10" i="16"/>
  <c r="O10" i="16"/>
  <c r="D6" i="7"/>
  <c r="H6" i="7"/>
  <c r="I6" i="11"/>
  <c r="P5" i="12"/>
  <c r="O5" i="12"/>
  <c r="N5" i="12"/>
  <c r="B31" i="11"/>
  <c r="G6" i="11"/>
  <c r="F6" i="11"/>
  <c r="L5" i="5"/>
  <c r="J11" i="5"/>
  <c r="M15" i="16"/>
  <c r="G13" i="10"/>
  <c r="P9" i="17"/>
  <c r="O9" i="17"/>
  <c r="N9" i="17"/>
  <c r="M7" i="13"/>
  <c r="I8" i="5"/>
  <c r="P14" i="16" l="1"/>
  <c r="O14" i="16"/>
  <c r="N14" i="16"/>
  <c r="O12" i="15"/>
  <c r="P12" i="15"/>
  <c r="N12" i="15"/>
  <c r="O8" i="16"/>
  <c r="N8" i="16"/>
  <c r="P8" i="16"/>
  <c r="O17" i="16"/>
  <c r="P17" i="16"/>
  <c r="N17" i="16"/>
  <c r="O6" i="12"/>
  <c r="P6" i="12"/>
  <c r="N6" i="12"/>
  <c r="P7" i="15"/>
  <c r="N7" i="15"/>
  <c r="O7" i="15"/>
  <c r="P6" i="13"/>
  <c r="O6" i="13"/>
  <c r="N6" i="13"/>
  <c r="O13" i="13"/>
  <c r="N13" i="13"/>
  <c r="P13" i="13"/>
  <c r="O9" i="13"/>
  <c r="N9" i="13"/>
  <c r="P9" i="13"/>
  <c r="O15" i="15"/>
  <c r="N15" i="15"/>
  <c r="P15" i="15"/>
  <c r="H6" i="11"/>
  <c r="G31" i="11"/>
  <c r="O6" i="11"/>
  <c r="N16" i="13"/>
  <c r="P16" i="13"/>
  <c r="O16" i="13"/>
  <c r="N10" i="15"/>
  <c r="O10" i="15"/>
  <c r="P10" i="15"/>
  <c r="P19" i="13"/>
  <c r="O19" i="13"/>
  <c r="N19" i="13"/>
  <c r="P13" i="12"/>
  <c r="N13" i="12"/>
  <c r="O13" i="12"/>
  <c r="P14" i="15"/>
  <c r="O14" i="15"/>
  <c r="N14" i="15"/>
  <c r="E11" i="11"/>
  <c r="G5" i="11"/>
  <c r="C30" i="11"/>
  <c r="N11" i="16"/>
  <c r="P11" i="16"/>
  <c r="O11" i="16"/>
  <c r="P12" i="16"/>
  <c r="N12" i="16"/>
  <c r="O12" i="16"/>
  <c r="P14" i="13"/>
  <c r="O14" i="13"/>
  <c r="N14" i="13"/>
  <c r="P5" i="15"/>
  <c r="O5" i="15"/>
  <c r="N5" i="15"/>
  <c r="P17" i="13"/>
  <c r="N17" i="13"/>
  <c r="O17" i="13"/>
  <c r="O9" i="12"/>
  <c r="N9" i="12"/>
  <c r="P9" i="12"/>
  <c r="P7" i="13"/>
  <c r="O7" i="13"/>
  <c r="N7" i="13"/>
  <c r="P6" i="16"/>
  <c r="O6" i="16"/>
  <c r="N6" i="16"/>
  <c r="P15" i="13"/>
  <c r="N15" i="13"/>
  <c r="O15" i="13"/>
  <c r="P19" i="16"/>
  <c r="O19" i="16"/>
  <c r="N19" i="16"/>
  <c r="O10" i="13"/>
  <c r="P10" i="13"/>
  <c r="N10" i="13"/>
  <c r="N8" i="13"/>
  <c r="P8" i="13"/>
  <c r="O8" i="13"/>
  <c r="C34" i="11"/>
  <c r="G9" i="11"/>
  <c r="O11" i="15"/>
  <c r="N11" i="15"/>
  <c r="P11" i="15"/>
  <c r="P9" i="16"/>
  <c r="O9" i="16"/>
  <c r="N9" i="16"/>
  <c r="P17" i="15"/>
  <c r="O17" i="15"/>
  <c r="N17" i="15"/>
  <c r="P18" i="13"/>
  <c r="O18" i="13"/>
  <c r="N18" i="13"/>
  <c r="P16" i="15"/>
  <c r="O16" i="15"/>
  <c r="N16" i="15"/>
  <c r="P19" i="15"/>
  <c r="N19" i="15"/>
  <c r="O19" i="15"/>
  <c r="N6" i="15"/>
  <c r="P6" i="15"/>
  <c r="O6" i="15"/>
  <c r="H11" i="7"/>
  <c r="P5" i="13"/>
  <c r="N5" i="13"/>
  <c r="O5" i="13"/>
  <c r="P13" i="16"/>
  <c r="O13" i="16"/>
  <c r="N13" i="16"/>
  <c r="P8" i="15"/>
  <c r="O8" i="15"/>
  <c r="N8" i="15"/>
  <c r="N18" i="15"/>
  <c r="P18" i="15"/>
  <c r="O18" i="15"/>
  <c r="F5" i="11"/>
  <c r="I11" i="11"/>
  <c r="N15" i="16"/>
  <c r="P15" i="16"/>
  <c r="O15" i="16"/>
  <c r="O5" i="16"/>
  <c r="N5" i="16"/>
  <c r="P5" i="16"/>
  <c r="K11" i="5"/>
  <c r="L11" i="5" s="1"/>
  <c r="P12" i="13"/>
  <c r="O12" i="13"/>
  <c r="N12" i="13"/>
  <c r="P9" i="15"/>
  <c r="O9" i="15"/>
  <c r="N9" i="15"/>
  <c r="P13" i="15"/>
  <c r="O13" i="15"/>
  <c r="N13" i="15"/>
  <c r="I11" i="5"/>
  <c r="B36" i="11"/>
  <c r="D6" i="2"/>
  <c r="C19" i="22"/>
  <c r="C15" i="11"/>
  <c r="M15" i="14"/>
  <c r="M17" i="14"/>
  <c r="M9" i="14"/>
  <c r="M7" i="14"/>
  <c r="M13" i="14"/>
  <c r="M5" i="14"/>
  <c r="M10" i="14"/>
  <c r="M14" i="14"/>
  <c r="M18" i="14"/>
  <c r="M12" i="14"/>
  <c r="M16" i="14"/>
  <c r="M19" i="14"/>
  <c r="M8" i="14"/>
  <c r="M6" i="14"/>
  <c r="M11" i="14"/>
  <c r="N10" i="14" l="1"/>
  <c r="O10" i="14"/>
  <c r="P10" i="14"/>
  <c r="P5" i="14"/>
  <c r="O5" i="14"/>
  <c r="N5" i="14"/>
  <c r="P13" i="14"/>
  <c r="O13" i="14"/>
  <c r="N13" i="14"/>
  <c r="O14" i="14"/>
  <c r="P14" i="14"/>
  <c r="N14" i="14"/>
  <c r="O11" i="14"/>
  <c r="P11" i="14"/>
  <c r="N11" i="14"/>
  <c r="P7" i="14"/>
  <c r="N7" i="14"/>
  <c r="O7" i="14"/>
  <c r="N9" i="14"/>
  <c r="O9" i="14"/>
  <c r="P9" i="14"/>
  <c r="C20" i="11"/>
  <c r="C22" i="11"/>
  <c r="J11" i="11"/>
  <c r="M10" i="11"/>
  <c r="M5" i="11"/>
  <c r="M7" i="11"/>
  <c r="M9" i="11"/>
  <c r="M8" i="11"/>
  <c r="O9" i="11"/>
  <c r="H9" i="11"/>
  <c r="G34" i="11"/>
  <c r="N6" i="14"/>
  <c r="O6" i="14"/>
  <c r="P6" i="14"/>
  <c r="O17" i="14"/>
  <c r="P17" i="14"/>
  <c r="N17" i="14"/>
  <c r="F11" i="11"/>
  <c r="C17" i="11" s="1"/>
  <c r="C23" i="11"/>
  <c r="O8" i="14"/>
  <c r="N8" i="14"/>
  <c r="P8" i="14"/>
  <c r="P15" i="14"/>
  <c r="O15" i="14"/>
  <c r="N15" i="14"/>
  <c r="M6" i="11"/>
  <c r="P16" i="14"/>
  <c r="O16" i="14"/>
  <c r="N16" i="14"/>
  <c r="O5" i="11"/>
  <c r="C19" i="11"/>
  <c r="G30" i="11"/>
  <c r="H5" i="11"/>
  <c r="P19" i="14"/>
  <c r="O19" i="14"/>
  <c r="N19" i="14"/>
  <c r="C36" i="11"/>
  <c r="G11" i="11"/>
  <c r="C16" i="11"/>
  <c r="C6" i="2"/>
  <c r="N12" i="14"/>
  <c r="P12" i="14"/>
  <c r="O12" i="14"/>
  <c r="N18" i="14"/>
  <c r="O18" i="14"/>
  <c r="P18" i="14"/>
  <c r="C21" i="11" l="1"/>
  <c r="D9" i="2"/>
  <c r="E36" i="11"/>
  <c r="L11" i="11"/>
  <c r="F36" i="11" s="1"/>
  <c r="H11" i="11"/>
  <c r="C18" i="11"/>
  <c r="G36" i="11"/>
  <c r="Q9" i="11"/>
  <c r="Q5" i="11"/>
  <c r="R8" i="11"/>
  <c r="Q8" i="11"/>
  <c r="R7" i="11"/>
  <c r="R10" i="11"/>
  <c r="R6" i="11"/>
  <c r="Q10" i="11"/>
  <c r="Q6" i="11"/>
  <c r="R9" i="11"/>
  <c r="Q7" i="11"/>
  <c r="R5" i="11"/>
  <c r="M11" i="11"/>
  <c r="F6" i="2"/>
  <c r="G6" i="2" s="1"/>
  <c r="E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5" authorId="0" shapeId="0" xr:uid="{00000000-0006-0000-0200-000005000000}">
      <text>
        <r>
          <rPr>
            <sz val="10"/>
            <rFont val="Arial"/>
            <family val="2"/>
          </rPr>
          <t>Valor DERIVADO del % reportado en el deck (no venía el dato absoluto). Reemplazar con el dato real del ERP.</t>
        </r>
      </text>
    </comment>
    <comment ref="D5" authorId="0" shapeId="0" xr:uid="{00000000-0006-0000-0200-000006000000}">
      <text>
        <r>
          <rPr>
            <sz val="10"/>
            <rFont val="Arial"/>
            <family val="2"/>
          </rPr>
          <t>Valor DERIVADO del % reportado en el deck (no venía el dato absoluto). Reemplazar con el dato real del ERP.</t>
        </r>
      </text>
    </comment>
    <comment ref="F5" authorId="0" shapeId="0" xr:uid="{00000000-0006-0000-0200-000007000000}">
      <text>
        <r>
          <rPr>
            <sz val="10"/>
            <rFont val="Arial"/>
            <family val="2"/>
          </rPr>
          <t>Valor DERIVADO del % reportado en el deck (no venía el dato absoluto). Reemplazar con el dato real del ERP.</t>
        </r>
      </text>
    </comment>
    <comment ref="B11" authorId="0" shapeId="0" xr:uid="{00000000-0006-0000-0200-000001000000}">
      <text>
        <r>
          <rPr>
            <sz val="10"/>
            <rFont val="Arial"/>
            <family val="2"/>
          </rPr>
          <t>Derivado del % del gráfico original × ventas del mes. Reemplazar con dato real.</t>
        </r>
      </text>
    </comment>
    <comment ref="B12" authorId="0" shapeId="0" xr:uid="{00000000-0006-0000-0200-000002000000}">
      <text>
        <r>
          <rPr>
            <sz val="10"/>
            <rFont val="Arial"/>
            <family val="2"/>
          </rPr>
          <t>Derivado del % del gráfico original × ventas del mes. Reemplazar con dato real.</t>
        </r>
      </text>
    </comment>
    <comment ref="B15" authorId="0" shapeId="0" xr:uid="{00000000-0006-0000-0200-000003000000}">
      <text>
        <r>
          <rPr>
            <sz val="10"/>
            <rFont val="Arial"/>
            <family val="2"/>
          </rPr>
          <t>Derivado del % del gráfico original. Reemplazar con dato real.</t>
        </r>
      </text>
    </comment>
    <comment ref="B16" authorId="0" shapeId="0" xr:uid="{00000000-0006-0000-0200-000004000000}">
      <text>
        <r>
          <rPr>
            <sz val="10"/>
            <rFont val="Arial"/>
            <family val="2"/>
          </rPr>
          <t>Derivado del % del gráfico original. Reemplazar con dato real.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8" authorId="0" shapeId="0" xr:uid="{00000000-0006-0000-0300-000001000000}">
      <text>
        <r>
          <rPr>
            <sz val="10"/>
            <rFont val="Arial"/>
            <family val="2"/>
          </rPr>
          <t>Abr: tabla Performed = 12.270 (cuadra con YTD 130.176); el gráfico OI mostraba 13.170. Validar.</t>
        </r>
      </text>
    </comment>
    <comment ref="C21" authorId="0" shapeId="0" xr:uid="{00000000-0006-0000-0300-000002000000}">
      <text>
        <r>
          <rPr>
            <sz val="10"/>
            <rFont val="Arial"/>
            <family val="2"/>
          </rPr>
          <t>Jul: el deck mostraba 13.652.194 (duplicado de Jun) en la tabla Performed; se usa 11.718,9 del gráfico OI, que cuadra con YTD 130.176.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4" authorId="0" shapeId="0" xr:uid="{00000000-0006-0000-0400-000001000000}">
      <text>
        <r>
          <rPr>
            <sz val="10"/>
            <rFont val="Arial"/>
            <family val="2"/>
          </rPr>
          <t>Diligenciar desde el ERP: OI IMP del mes por canal (m²).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9" authorId="0" shapeId="0" xr:uid="{00000000-0006-0000-0500-000001000000}">
      <text>
        <r>
          <rPr>
            <sz val="10"/>
            <rFont val="Arial"/>
            <family val="2"/>
          </rPr>
          <t>El deck mostraba 10.617 (duplicado de Single Skin). Se usa 33.248 del gráfico de progresión (Sep-25).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13" authorId="0" shapeId="0" xr:uid="{00000000-0006-0000-0700-000001000000}">
      <text>
        <r>
          <rPr>
            <sz val="10"/>
            <rFont val="Arial"/>
            <family val="2"/>
          </rPr>
          <t>Jul corregido: 11.718,9 (el deck mostraba 13.652.194 = duplicado de Jun).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34" authorId="0" shapeId="0" xr:uid="{00000000-0006-0000-0900-000001000000}">
      <text>
        <r>
          <rPr>
            <sz val="10"/>
            <rFont val="Arial"/>
            <family val="2"/>
          </rPr>
          <t>El deck reporta 38 proyectos Industriales; la fila "Others" agrupa varios proyectos.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<sst xmlns="http://schemas.openxmlformats.org/spreadsheetml/2006/main" count="1166" uniqueCount="634">
  <si>
    <t>Kingspan Middle Americas · Commercial Review – Motor de datos (Data Engine)</t>
  </si>
  <si>
    <t>Cómo usar este archivo</t>
  </si>
  <si>
    <t>1. Diligencie SOLO las celdas amarillas con texto azul (inputs). Todo lo demás (%, YoY, MoM, totales, mix, rankings, semáforos, Top 5) se calcula solo.</t>
  </si>
  <si>
    <t>2. Cada hoja corresponde a un slide del deck (01 = Commercial Overview … 15 = Highlights). El número de la hoja = número del slide de contenido.</t>
  </si>
  <si>
    <t>3. Los rankings de consultores (hojas 09–14) y los Top 5 (hojas 07–08) se reordenan automáticamente al cambiar los datos.</t>
  </si>
  <si>
    <t>4. Para actualizar el PowerPoint: en cada gráfico clic derecho › "Editar datos" y pegue los valores de la tabla "Fuente gráfico" de la hoja correspondiente; en las tablas, pegue valores (Pegado especial › Valores) desde el bloque "Tabla slide".</t>
  </si>
  <si>
    <t xml:space="preserve">   Alternativa: copie el bloque de la hoja y en PowerPoint use Pegado especial › "Pegar vínculo" (Hoja de Microsoft Excel) para dejar la tabla vinculada a este archivo.</t>
  </si>
  <si>
    <t>5. Mes de corte: hoja 02_OI celda B4 y 06_Perf_Forecast celda B4 (número de mes, 9 = septiembre).</t>
  </si>
  <si>
    <t>6. Revise la hoja "Validaciones": lista inconsistencias detectadas en el deck original y cómo se corrigieron.</t>
  </si>
  <si>
    <t>Convenciones</t>
  </si>
  <si>
    <t>Amarillo + azul = input · Negro = fórmula · Verde/Ámbar/Rojo = semáforo de cumplimiento (≥100% / 70–99% / &lt;70%).</t>
  </si>
  <si>
    <t>Unidades: volumen en m²; ingresos en COP MM (millones de pesos); pipeline en USD.</t>
  </si>
  <si>
    <t>Actualización Oct-2026</t>
  </si>
  <si>
    <t>• Los slides por consultor (RSM) se reemplazaron por UN slide resumen por canal: "Sales Performance by Channel (YTD)".</t>
  </si>
  <si>
    <t>• Fuente del slide: hoja RSM_Resumen_Canales (todo fórmula). Las hojas 09–14 siguen siendo el input de detalle por consultor: actualice allí ventas, budget, OI y backlog; el resumen suma el TOTAL CANAL de cada hoja.</t>
  </si>
  <si>
    <t>• Backlog y margen de backlog por canal: hoja 05_Backlog_Canal (B = backlog CM, E/F = margen CM/PY).</t>
  </si>
  <si>
    <t>• Mapa de slides: 2 Overview (01) · 3 OI (02) · 4 OI canal (03) · 5 Backlog (04) · 6 Backlog canal (05) · 7 Performed/Forecast (06) · 8 Top Opps (07/Pipeline) · 9–10 Key Projects (08/Pipeline) · 11 Resumen canales y 12 Sales vs Budget &amp; margen (RSM_Resumen_Canales) · 13 Highlights (15).</t>
  </si>
  <si>
    <t>• Slides 11–12 en miles de m² (k m²). Semáforo: Rojo 0–60% · Naranja 61–84% · Verde claro 85–100% · Verde oscuro &gt;100%.</t>
  </si>
  <si>
    <t>Estructura 4 preguntas (Oct-2026)</t>
  </si>
  <si>
    <t>• Hojas nuevas: 00_Resumen_Ejecutivo (slide 2) · 16_Iniciativas (slides 15–16) · 17_Actividad_Impacto (slide 17) · 18_Acciones_Decisiones (slide 19). La hoja Validaciones tiene columna Estado: el deck final se cierra solo con 0 puntos abiertos.</t>
  </si>
  <si>
    <t>• Mapa actual: 1 Portada · 2 Resumen ejecutivo · 3 Overview · 4 OI · 5 OI canal · 6 Backlog · 7 Backlog canal · 8 Performed/Forecast · 9 Top Opps · 10–11 Key Projects · 12 Resumen canales · 13 Sales vs Budget &amp; margen · 14 Qué explica la desviación · 15–16 Iniciativas · 17 Actividad→Impacto · 18 Highlights · 19 Decisiones · 20 Cierre.</t>
  </si>
  <si>
    <t>00 · Resumen ejecutivo – 4 preguntas</t>
  </si>
  <si>
    <t>Slide 2: qué nos comprometimos (amarillo = input), qué logramos (fórmula), desviación y estado (automáticos), qué la explica y acción (input).</t>
  </si>
  <si>
    <t>Indicador</t>
  </si>
  <si>
    <t>Unidad</t>
  </si>
  <si>
    <t>Compromiso / meta</t>
  </si>
  <si>
    <t>Resultado</t>
  </si>
  <si>
    <t>Desviación (Res − Comp)</t>
  </si>
  <si>
    <t>% vs compromiso</t>
  </si>
  <si>
    <t>Estado sugerido</t>
  </si>
  <si>
    <t>Estado final (override)</t>
  </si>
  <si>
    <t>Qué la explica</t>
  </si>
  <si>
    <t>Acción / decisión</t>
  </si>
  <si>
    <t>Responsable</t>
  </si>
  <si>
    <t>Fecha</t>
  </si>
  <si>
    <t>Order Intake YTD</t>
  </si>
  <si>
    <t>m²</t>
  </si>
  <si>
    <t>Ventas YTD</t>
  </si>
  <si>
    <t>Industrial y Otras Geografías = 98% de la brecha</t>
  </si>
  <si>
    <t>Plan de cobertura territorios Industrial + plan de recuperación cuentas Ecuador / Costa Rica</t>
  </si>
  <si>
    <t>Margen OI YTD (Gross-STD)</t>
  </si>
  <si>
    <t>%</t>
  </si>
  <si>
    <t>Backlog IMP</t>
  </si>
  <si>
    <t>Margen backlog (ponderado)</t>
  </si>
  <si>
    <t>Cierre año OI (real + forecast)</t>
  </si>
  <si>
    <t>Forecast Q4 400k m² (+7,6% vs Q4-25)</t>
  </si>
  <si>
    <t>Iniciativas estratégicas en verde</t>
  </si>
  <si>
    <t>#</t>
  </si>
  <si>
    <t>Regla de estado sugerido: ≥100% del compromiso = Verde · 85–99% = Amarillo · &lt;85% = Rojo. Si se diligencia "Estado final", ese prevalece en el slide.</t>
  </si>
  <si>
    <t>Mensaje clave del slide (1 línea):</t>
  </si>
  <si>
    <t>Estamos al 85% del budget de ventas YTD con OI y margen por encima del año anterior; la brecha está en territorios Industrial y dos cuentas de exportación.</t>
  </si>
  <si>
    <t>01 · Commercial Overview</t>
  </si>
  <si>
    <t>Ventas y Order Intake del mes, YTD, YoY y MoM · mix de ventas por canal y geografía</t>
  </si>
  <si>
    <t>Concepto (m²)</t>
  </si>
  <si>
    <t>Mes actual (Sep-26)</t>
  </si>
  <si>
    <t>Mismo mes PY (Sep-25)</t>
  </si>
  <si>
    <t>Mes anterior (Ago-26)</t>
  </si>
  <si>
    <t>YTD 2026</t>
  </si>
  <si>
    <t>YTD 2025</t>
  </si>
  <si>
    <t>YoY mes</t>
  </si>
  <si>
    <t>MoM</t>
  </si>
  <si>
    <t>YoY YTD</t>
  </si>
  <si>
    <t>Ventas (Sales)</t>
  </si>
  <si>
    <t>Order Intake</t>
  </si>
  <si>
    <t>Book-to-bill YTD (OI / Ventas)</t>
  </si>
  <si>
    <t>Book-to-bill mes</t>
  </si>
  <si>
    <t>Ventas del mes por canal</t>
  </si>
  <si>
    <t>Mix %</t>
  </si>
  <si>
    <t>Industrial</t>
  </si>
  <si>
    <t>Distribution</t>
  </si>
  <si>
    <t>Ventas del mes por geografía</t>
  </si>
  <si>
    <t>Colombia</t>
  </si>
  <si>
    <t>Other Geographies</t>
  </si>
  <si>
    <t>Otras geografías – país</t>
  </si>
  <si>
    <t>m² mes</t>
  </si>
  <si>
    <t>% del total OG</t>
  </si>
  <si>
    <t>Ranking</t>
  </si>
  <si>
    <t>Ecuador</t>
  </si>
  <si>
    <t>Others</t>
  </si>
  <si>
    <t>Guatemala</t>
  </si>
  <si>
    <t>Venezuela</t>
  </si>
  <si>
    <t>Total</t>
  </si>
  <si>
    <t>Top pedidos del mes – Cliente</t>
  </si>
  <si>
    <t>Proyecto</t>
  </si>
  <si>
    <t>Canal</t>
  </si>
  <si>
    <t>Valor (USD mm, según deck)</t>
  </si>
  <si>
    <t>Envases Tropicales</t>
  </si>
  <si>
    <t>Cubierta Envases Tropicales | LTORR-02071</t>
  </si>
  <si>
    <t>Industrial Nutricional Avícola</t>
  </si>
  <si>
    <t>Industria Nutricional Avícola</t>
  </si>
  <si>
    <t>Cold Storage</t>
  </si>
  <si>
    <t>C.C. Chipichape P.H.</t>
  </si>
  <si>
    <t>Recambio cubierta Chipichape – Bodega 04</t>
  </si>
  <si>
    <t>Tabla por producto + progresión mensual de ingresos y margen</t>
  </si>
  <si>
    <t>Mes de corte (1-12)</t>
  </si>
  <si>
    <t>Producto / métrica</t>
  </si>
  <si>
    <t>Mes actual</t>
  </si>
  <si>
    <t>PY</t>
  </si>
  <si>
    <t>YTD</t>
  </si>
  <si>
    <t>Prior YTD</t>
  </si>
  <si>
    <t>IMP – Volume (m²)</t>
  </si>
  <si>
    <t>Kingcore – Volume (m²)</t>
  </si>
  <si>
    <t>Single Skin – Volume (m²)</t>
  </si>
  <si>
    <t>Benchmark – Volume (m²)</t>
  </si>
  <si>
    <t>IMP – Revenue (COP MM)</t>
  </si>
  <si>
    <t>Margen (Gross-STD)</t>
  </si>
  <si>
    <t>N° mes</t>
  </si>
  <si>
    <t>Mes</t>
  </si>
  <si>
    <t>Ingresos CY (COP MM)</t>
  </si>
  <si>
    <t>Ingresos PY (COP MM)</t>
  </si>
  <si>
    <t>YoY</t>
  </si>
  <si>
    <t>Margen CY %</t>
  </si>
  <si>
    <t>Fuente gráfico: CY</t>
  </si>
  <si>
    <t>Fuente gráfico: PY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</si>
  <si>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</si>
  <si>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</si>
  <si>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</si>
  <si>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</si>
  <si>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</si>
  <si>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</si>
  <si>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</si>
  <si>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</si>
  <si>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</si>
  <si>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</si>
  <si>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</si>
  <si>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</si>
  <si>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Control vs tabla</t>
  </si>
  <si>
    <t>03 · Order Intake por canal (IMP)</t>
  </si>
  <si>
    <t>CM / PY / YoY / Gross Margin por canal · YTD y mix se alimentan de las hojas RSM (09–14)</t>
  </si>
  <si>
    <t>OI mes CM (m²)</t>
  </si>
  <si>
    <t>OI mes PY (m²)</t>
  </si>
  <si>
    <t>GM % CM</t>
  </si>
  <si>
    <t>GM % PY</t>
  </si>
  <si>
    <t>Δ GM (pp)</t>
  </si>
  <si>
    <t>OI YTD m² (RSM)</t>
  </si>
  <si>
    <t>Mix YTD %</t>
  </si>
  <si>
    <t>Ventas YTD m²</t>
  </si>
  <si>
    <t>Budget YTD m²</t>
  </si>
  <si>
    <t>% Cumpl. ventas</t>
  </si>
  <si>
    <t>Distribución</t>
  </si>
  <si>
    <t>Otras Geografías</t>
  </si>
  <si>
    <t>Site Cali</t>
  </si>
  <si>
    <t>Ventas Alternativas</t>
  </si>
  <si>
    <t>TOTAL</t>
  </si>
  <si>
    <t>Control: Σ CM canales vs OI IMP mes (hoja 02)</t>
  </si>
  <si>
    <t>Control: OI YTD RSM vs OI YTD IMP (hoja 02)</t>
  </si>
  <si>
    <t>Tabla por producto + progresión mensual del backlog (COP MM) y margen</t>
  </si>
  <si>
    <t>Δ vs PY</t>
  </si>
  <si>
    <t>1 Ene 2026</t>
  </si>
  <si>
    <t>Δ vs 1 Ene</t>
  </si>
  <si>
    <t>Margen (Std)</t>
  </si>
  <si>
    <t>Margen (Std) sin Canpack</t>
  </si>
  <si>
    <t>Backlog CY (COP MM)</t>
  </si>
  <si>
    <t>Backlog PY (COP MM)</t>
  </si>
  <si>
    <t>05 · Backlog por canal (IMP)</t>
  </si>
  <si>
    <t>CM se alimenta del backlog por RSM (hojas 09–14); PY y márgenes se diligencian</t>
  </si>
  <si>
    <t>Backlog CM (m²) – RSM</t>
  </si>
  <si>
    <t>Backlog PY (m²)</t>
  </si>
  <si>
    <t>Backlog paneles</t>
  </si>
  <si>
    <t>Backlog otros</t>
  </si>
  <si>
    <t>Control: backlog RSM vs backlog IMP (hoja 04)</t>
  </si>
  <si>
    <t>06 · Performed / Forecast OI 2026</t>
  </si>
  <si>
    <t>Real vs forecast mensual, acumulados, trimestres y comparativo vs PY</t>
  </si>
  <si>
    <t>Mes de corte (último mes real)</t>
  </si>
  <si>
    <t>Trimestre</t>
  </si>
  <si>
    <t>Estado</t>
  </si>
  <si>
    <t>Volumen m²</t>
  </si>
  <si>
    <t>Ingresos COP MM</t>
  </si>
  <si>
    <t>Acum. volumen m²</t>
  </si>
  <si>
    <t>Acum. ingresos COP MM</t>
  </si>
  <si>
    <t>Fuente gráfico: Real</t>
  </si>
  <si>
    <t>Fuente gráfico: Forecast</t>
  </si>
  <si>
    <t>Q1</t>
  </si>
  <si>
    <t>Q2</t>
  </si>
  <si>
    <t>Q3</t>
  </si>
  <si>
    <t>Q4</t>
  </si>
  <si>
    <t>Comparativo IMP</t>
  </si>
  <si>
    <t>2026 (m²)</t>
  </si>
  <si>
    <t>2025 PY (m²)</t>
  </si>
  <si>
    <t>YoY m²</t>
  </si>
  <si>
    <t>2026 COP MM</t>
  </si>
  <si>
    <t>2025 COP MM</t>
  </si>
  <si>
    <t>YoY COP</t>
  </si>
  <si>
    <t>GM 2026</t>
  </si>
  <si>
    <t>GM 2025</t>
  </si>
  <si>
    <t>Δ GM pp</t>
  </si>
  <si>
    <t>Mes actual (CM)</t>
  </si>
  <si>
    <t>YTD real</t>
  </si>
  <si>
    <t>Forecast resto del año</t>
  </si>
  <si>
    <t>Cierre año (Real + Fcst)</t>
  </si>
  <si>
    <t>Avance vs cierre año (volumen)</t>
  </si>
  <si>
    <t>07 · Top Opportunities (pipeline abierto)</t>
  </si>
  <si>
    <t>Top 5 por segmento, automático desde la hoja Pipeline · criterio seleccionable</t>
  </si>
  <si>
    <t>Criterio de orden (cambiar en hoja Pipeline!C4):</t>
  </si>
  <si>
    <t>Industrial – Top 5 oportunidades abiertas</t>
  </si>
  <si>
    <t>Cliente</t>
  </si>
  <si>
    <t>País</t>
  </si>
  <si>
    <t>Portafolio (Type)</t>
  </si>
  <si>
    <t>Ejecutivo</t>
  </si>
  <si>
    <t>USD</t>
  </si>
  <si>
    <t>% Cierre</t>
  </si>
  <si>
    <t>Fecha cierre</t>
  </si>
  <si>
    <t>Valor ponderado</t>
  </si>
  <si>
    <t>Total Top 5</t>
  </si>
  <si>
    <t>Distribución – Top 5 oportunidades abiertas</t>
  </si>
  <si>
    <t>Top 5 Industrial / pipeline Industrial USD</t>
  </si>
  <si>
    <t>Top 5 Distribución / pipeline Distribución USD</t>
  </si>
  <si>
    <t>08 · Key Projects – Industrial y Distribución</t>
  </si>
  <si>
    <t>Top 5 por m² (todos los estados) + resumen de pipeline</t>
  </si>
  <si>
    <t>Industrial – Top 5 proyectos por m² (todos los estados)</t>
  </si>
  <si>
    <t>Distribución – Top 5 proyectos por m² (todos los estados)</t>
  </si>
  <si>
    <t>Resumen pipeline</t>
  </si>
  <si>
    <t>N° proyectos (filas)</t>
  </si>
  <si>
    <t>m² total</t>
  </si>
  <si>
    <t>USD total</t>
  </si>
  <si>
    <t>Closed Won – N°</t>
  </si>
  <si>
    <t>Closed Won – USD</t>
  </si>
  <si>
    <t>Specification – N°</t>
  </si>
  <si>
    <t>Pending – N°</t>
  </si>
  <si>
    <t>Pending – USD</t>
  </si>
  <si>
    <t>N° proyectos reportado (incl. grupo "Others")</t>
  </si>
  <si>
    <t>Insight (texto para slide)</t>
  </si>
  <si>
    <t>Resumen por canal – Order Intake, Ventas, Budget, Cumplimiento y Backlog (YTD)</t>
  </si>
  <si>
    <t>Alimenta el slide "Sales Performance by Channel (YTD)". Todo es fórmula: se actualiza desde las hojas RSM (detalle por consultor, no se presenta) y 05_Backlog_Canal.</t>
  </si>
  <si>
    <t>Canal (slide)</t>
  </si>
  <si>
    <t>Hoja RSM fuente</t>
  </si>
  <si>
    <t>Order Intake YTD (m²)</t>
  </si>
  <si>
    <t>Ventas YTD (m²)</t>
  </si>
  <si>
    <t>Budget YTD (m²)</t>
  </si>
  <si>
    <t>Brecha vs budget (m²)</t>
  </si>
  <si>
    <t>% Cumplimiento</t>
  </si>
  <si>
    <t>Semáforo</t>
  </si>
  <si>
    <t>Backlog (m²)</t>
  </si>
  <si>
    <t>Margen backlog CM</t>
  </si>
  <si>
    <t>Margen backlog PY</t>
  </si>
  <si>
    <t>Δ margen (pp)</t>
  </si>
  <si>
    <t>Mix backlog</t>
  </si>
  <si>
    <t>Book-to-bill (OI/Ventas)</t>
  </si>
  <si>
    <t>Ranking cumplimiento (fuente gráfico)</t>
  </si>
  <si>
    <t>% Cumpl.</t>
  </si>
  <si>
    <t>09_RSM_Industrial</t>
  </si>
  <si>
    <t>10_RSM_Distribucion</t>
  </si>
  <si>
    <t>11_RSM_Otras_Geo</t>
  </si>
  <si>
    <t>12_RSM_Cold_Storage</t>
  </si>
  <si>
    <t>13_RSM_Site_Cali</t>
  </si>
  <si>
    <t>Alternative Sales</t>
  </si>
  <si>
    <t>14_RSM_Vtas_Alt</t>
  </si>
  <si>
    <t>KPIs del slide</t>
  </si>
  <si>
    <t>Brecha total (m²)</t>
  </si>
  <si>
    <t>% Cumplimiento total</t>
  </si>
  <si>
    <t>Canales ≥100% budget</t>
  </si>
  <si>
    <t>Backlog total (m²)</t>
  </si>
  <si>
    <t>Margen backlog ponderado</t>
  </si>
  <si>
    <t>Control: backlog vs IMP (hoja 04)</t>
  </si>
  <si>
    <t>% de la brecha explicado por Industrial + Otras Geo</t>
  </si>
  <si>
    <t>Semáforo cumplimiento: Rojo 0–60% · Naranja 61–84% · Verde claro 85–100% · Verde oscuro &gt;100%</t>
  </si>
  <si>
    <t>Fuente slide "Sales vs Budget &amp; Margin Evolution" (k m² y margen de backlog PY → CM)</t>
  </si>
  <si>
    <t>Ventas YTD (k m²)</t>
  </si>
  <si>
    <t>Budget YTD (k m²)</t>
  </si>
  <si>
    <t>Margen Sep-25 (PY)</t>
  </si>
  <si>
    <t>Margen Sep-26 (CM)</t>
  </si>
  <si>
    <t>Nota: n.a. en margen PY = canal sin base PY. Para ver evolución mensual, agregar ventas/budget/margen por mes por canal.</t>
  </si>
  <si>
    <t>09 · RSM Industrial – Cumplimiento y Backlog (YTD)  [detalle interno – no se presenta en el deck]</t>
  </si>
  <si>
    <t>Diligencie la tabla izquierda; el ranking (derecha), totales y semáforos se calculan solos</t>
  </si>
  <si>
    <t>RSM (nombre completo)</t>
  </si>
  <si>
    <t>Nombre corto (slide)</t>
  </si>
  <si>
    <t>Order Intake m²</t>
  </si>
  <si>
    <t>Ventas Total m²</t>
  </si>
  <si>
    <t>Budget m² (paneles)</t>
  </si>
  <si>
    <t>% Cumpl. Budget</t>
  </si>
  <si>
    <t>Backlog paneles m²</t>
  </si>
  <si>
    <t>Backlog otros m²</t>
  </si>
  <si>
    <t>Clave orden (aux)</t>
  </si>
  <si>
    <t>Ranking – Fuente gráfico (mayor → menor cumplimiento)</t>
  </si>
  <si>
    <t>Ventas m²</t>
  </si>
  <si>
    <t>Budget m²</t>
  </si>
  <si>
    <t>ARIAS GIRALDO ANA ISABEL</t>
  </si>
  <si>
    <t>Ana I. Arias</t>
  </si>
  <si>
    <t>EJECUTIVO VENTAS ZONA NORTE</t>
  </si>
  <si>
    <t>Ejec. Zona Norte</t>
  </si>
  <si>
    <t>GUERRERO ESPINOSA JULIO CESAR</t>
  </si>
  <si>
    <t>Julio C. Guerrero</t>
  </si>
  <si>
    <t>CALDERON CHANTRE DIEGO ALFONSO</t>
  </si>
  <si>
    <t>Diego A. Calderón</t>
  </si>
  <si>
    <t>CANDELA HERNANDEZ YOLANDA</t>
  </si>
  <si>
    <t>Yolanda Candela</t>
  </si>
  <si>
    <t>EJECUTIVO VENTAS ZONA CUENTAS CLAVES</t>
  </si>
  <si>
    <t>Ejec. Cuentas Clave</t>
  </si>
  <si>
    <t>NARANJO VELEZ LEON ALEXIS</t>
  </si>
  <si>
    <t>León A. Naranjo</t>
  </si>
  <si>
    <t>FONTALVO MENDIETA ADRIANA MARCELA</t>
  </si>
  <si>
    <t>Adriana M. Fontalvo</t>
  </si>
  <si>
    <t>EJECUTIVO VENTAS ZONA BOGOTA</t>
  </si>
  <si>
    <t>Ejec. Zona Bogotá</t>
  </si>
  <si>
    <t>TOTAL CANAL</t>
  </si>
  <si>
    <t>KPIs canal</t>
  </si>
  <si>
    <t>RSM ≥100% budget</t>
  </si>
  <si>
    <t>RSM &lt;70% budget</t>
  </si>
  <si>
    <t>10 · RSM Distribución – Cumplimiento y Backlog (YTD)  [detalle interno – no se presenta en el deck]</t>
  </si>
  <si>
    <t>EJECUTIVO DE VENTAS SUR</t>
  </si>
  <si>
    <t>Ejec. Ventas Sur</t>
  </si>
  <si>
    <t>EJECUTIVO DE VENTAS EJE CAFETERO</t>
  </si>
  <si>
    <t>Ejec. Eje Cafetero</t>
  </si>
  <si>
    <t>GARCIA RUIZ MONICA ALEXANDRA</t>
  </si>
  <si>
    <t>Mónica A. García</t>
  </si>
  <si>
    <t>PEREZ RESTREPO EIDY JOANA</t>
  </si>
  <si>
    <t>Eidy J. Pérez</t>
  </si>
  <si>
    <t>SALAZAR LOPEZ EDWAR ANDRES</t>
  </si>
  <si>
    <t>Edwar A. Salazar</t>
  </si>
  <si>
    <t>ACOSTA HERNANDEZ HENRY ALEJANDRO</t>
  </si>
  <si>
    <t>Henry A. Acosta</t>
  </si>
  <si>
    <t>VALENZUELA TORRES RONALD</t>
  </si>
  <si>
    <t>Ronald Valenzuela</t>
  </si>
  <si>
    <t>MENDEZ GONZALEZ RONALD ENRIQUE</t>
  </si>
  <si>
    <t>Ronald E. Méndez</t>
  </si>
  <si>
    <t>RIOS NUÑEZ ERWIN ANTONIO</t>
  </si>
  <si>
    <t>Erwin A. Ríos</t>
  </si>
  <si>
    <t>11 · RSM Otras Geografías (Exportación) – Cumplimiento y Backlog (YTD)  [detalle interno – no se presenta en el deck]</t>
  </si>
  <si>
    <t>KAM ACOUNT MANAGER ECUADOR</t>
  </si>
  <si>
    <t xml:space="preserve">KAM 2 - Ecuador </t>
  </si>
  <si>
    <t>TORRES AREVALO LAURA MARCELA</t>
  </si>
  <si>
    <t>Laura M. Torres</t>
  </si>
  <si>
    <t>CALDERON DURAN MARIA YELITZA</t>
  </si>
  <si>
    <t>María Y. Calderón</t>
  </si>
  <si>
    <t>HINOSTROZA GAMBOA ERICK</t>
  </si>
  <si>
    <t>Erick Hinostroza</t>
  </si>
  <si>
    <t>RODRIGUEZ GONZALEZ CARLOS ALFREDO</t>
  </si>
  <si>
    <t>Carlos A. Rodríguez</t>
  </si>
  <si>
    <t>KAM ACOUNT MANAGER COSTA RICA</t>
  </si>
  <si>
    <t xml:space="preserve">KAM  - Costa Rica </t>
  </si>
  <si>
    <t>NAVAS ESCOBAR MAYRA ALEJANDRA</t>
  </si>
  <si>
    <t>Mayra A. Navas</t>
  </si>
  <si>
    <t>FERNANDINI MOLINA ANGIE PAOLA</t>
  </si>
  <si>
    <t>Angie P. Fernandini</t>
  </si>
  <si>
    <t>12 · RSM Refrigeración (Cold Storage) – Cumplimiento y Backlog (YTD)  [detalle interno – no se presenta en el deck]</t>
  </si>
  <si>
    <t>RODRIGUEZ HENAO LAURA MARCELA</t>
  </si>
  <si>
    <t>Laura M. Rodríguez</t>
  </si>
  <si>
    <t>MENENDEZ ICABALCETA JUAN CARLOS</t>
  </si>
  <si>
    <t>Juan C. Menéndez</t>
  </si>
  <si>
    <t>URIBE JIMENEZ SANDRA MILENA</t>
  </si>
  <si>
    <t>Sandra M. Uribe</t>
  </si>
  <si>
    <t>13 · RSM Site Cali – Cumplimiento y Backlog (YTD)  [detalle interno – no se presenta en el deck]</t>
  </si>
  <si>
    <t>ALTAMIRANO PUENTES YAZMIN</t>
  </si>
  <si>
    <t>Yazmín Altamirano</t>
  </si>
  <si>
    <t>14 · RSM Ventas Alternativas – Cumplimiento y Backlog (YTD)  [detalle interno – no se presenta en el deck]</t>
  </si>
  <si>
    <t>QUINTANA BARRIOS JAIRO ALONSO</t>
  </si>
  <si>
    <t>Jairo A. Quintana</t>
  </si>
  <si>
    <t>15 · Highlights septiembre – Comercial</t>
  </si>
  <si>
    <t>KPIs de gestión comercial e hitos del mes</t>
  </si>
  <si>
    <t>KPI</t>
  </si>
  <si>
    <t>Valor</t>
  </si>
  <si>
    <t>Unidad / detalle</t>
  </si>
  <si>
    <t>Visitas a clientes</t>
  </si>
  <si>
    <t>visitas</t>
  </si>
  <si>
    <t>Clientes nuevos</t>
  </si>
  <si>
    <t>clientes</t>
  </si>
  <si>
    <t>m² clientes nuevos</t>
  </si>
  <si>
    <t>USD clientes nuevos</t>
  </si>
  <si>
    <t>Personas capacitadas</t>
  </si>
  <si>
    <t>personas (clientes + portafolio cold storage)</t>
  </si>
  <si>
    <t>Ferias / eventos</t>
  </si>
  <si>
    <t>eventos</t>
  </si>
  <si>
    <t>m² especificados en paneles</t>
  </si>
  <si>
    <t>m² especificados línea arquitectónica</t>
  </si>
  <si>
    <t>USD promedio por cliente nuevo</t>
  </si>
  <si>
    <t>m² especificados – total</t>
  </si>
  <si>
    <t>Hito</t>
  </si>
  <si>
    <t>Qué se hizo</t>
  </si>
  <si>
    <t>Impacto / siguiente paso</t>
  </si>
  <si>
    <t>Evento Binacional – Cúcuta</t>
  </si>
  <si>
    <t>Participación en rueda de negocios conectando empresas colombianas con compradores venezolanos</t>
  </si>
  <si>
    <t>Pipeline de nuevas oportunidades en Venezuela; seguimiento a contactos</t>
  </si>
  <si>
    <t>Formación de clientes</t>
  </si>
  <si>
    <t>Capacitaciones a clientes y portafolio general / cold storage (122 personas); portafolio cold storage para Grupo Nutresa</t>
  </si>
  <si>
    <t>Especificación temprana y fidelización de cuentas clave</t>
  </si>
  <si>
    <t>Proyecto destacado – Smartfit</t>
  </si>
  <si>
    <t>Fachada Smartfit 599 m²</t>
  </si>
  <si>
    <t>Referencia arquitectónica para retail / fitness</t>
  </si>
  <si>
    <t>Proyecto destacado – Dollarcity Mamatoco</t>
  </si>
  <si>
    <t>Suministro de solución de cubierta para nueva tienda</t>
  </si>
  <si>
    <t>Replicable al plan de expansión de la cadena</t>
  </si>
  <si>
    <t>Pipeline de proyectos – Industrial y Distribución (input)</t>
  </si>
  <si>
    <t>Una fila por proyecto. Las columnas grises son auxiliares (no editar).</t>
  </si>
  <si>
    <t>Criterio Top Opportunities (USD o m2)</t>
  </si>
  <si>
    <t>Segmento</t>
  </si>
  <si>
    <t>Portafolio</t>
  </si>
  <si>
    <t>Fecha cierre proy.</t>
  </si>
  <si>
    <t>Valor ponderado USD</t>
  </si>
  <si>
    <t>Clave Top Opps Ind</t>
  </si>
  <si>
    <t>Clave Top Opps Dis</t>
  </si>
  <si>
    <t>Clave m² Ind</t>
  </si>
  <si>
    <t>Clave m² Dis</t>
  </si>
  <si>
    <t>Construplan</t>
  </si>
  <si>
    <t>Walmart</t>
  </si>
  <si>
    <t>Carlos Rodriguez</t>
  </si>
  <si>
    <t>King Wall / King Frio / King Roof</t>
  </si>
  <si>
    <t>Specification</t>
  </si>
  <si>
    <t>Noviembre</t>
  </si>
  <si>
    <t>Haceb</t>
  </si>
  <si>
    <t>Recambio</t>
  </si>
  <si>
    <t>Ana Arias</t>
  </si>
  <si>
    <t>KingWall / KingRoof</t>
  </si>
  <si>
    <t>Pending</t>
  </si>
  <si>
    <t>Conmetal</t>
  </si>
  <si>
    <t>Bodegas AMT</t>
  </si>
  <si>
    <t>KingRoof / KingWall</t>
  </si>
  <si>
    <t>Diciembre</t>
  </si>
  <si>
    <t>Imbert Dominguez</t>
  </si>
  <si>
    <t>INDAL-IDA</t>
  </si>
  <si>
    <t>Laura Torres</t>
  </si>
  <si>
    <t>Dominicana</t>
  </si>
  <si>
    <t>KingRoof / KingWall / KingFrigo</t>
  </si>
  <si>
    <t>Magnetron</t>
  </si>
  <si>
    <t>—</t>
  </si>
  <si>
    <t>Julio Guerrero</t>
  </si>
  <si>
    <t>KingRoof, KingMetalRoof, KingWall</t>
  </si>
  <si>
    <t>Amo Contratistas</t>
  </si>
  <si>
    <t>Nave Lima</t>
  </si>
  <si>
    <t>Erick Hinestroza</t>
  </si>
  <si>
    <t>Perú</t>
  </si>
  <si>
    <t>Super Alimentos Zona Franca</t>
  </si>
  <si>
    <t>Fábrica</t>
  </si>
  <si>
    <t>Diego Calderón</t>
  </si>
  <si>
    <t>Ministerio de Vivienda SV</t>
  </si>
  <si>
    <t>Casas El Salvador</t>
  </si>
  <si>
    <t>El Salvador</t>
  </si>
  <si>
    <t>Prosein</t>
  </si>
  <si>
    <t>Casa Venezuela</t>
  </si>
  <si>
    <t>María Yelitza Calderón</t>
  </si>
  <si>
    <t>KingFrigo / KingRoof</t>
  </si>
  <si>
    <t>Remar</t>
  </si>
  <si>
    <t>Cubic 33</t>
  </si>
  <si>
    <t>Mapei</t>
  </si>
  <si>
    <t>Mecalfab</t>
  </si>
  <si>
    <t>Trinidad Sea Food</t>
  </si>
  <si>
    <t>Trinidad</t>
  </si>
  <si>
    <t>King Frio</t>
  </si>
  <si>
    <t>Closed Won</t>
  </si>
  <si>
    <t>Conconcreto</t>
  </si>
  <si>
    <t>Planta Arroz Diana B/quilla</t>
  </si>
  <si>
    <t>Scadia</t>
  </si>
  <si>
    <t>Angar Avianca (Bogotá)</t>
  </si>
  <si>
    <t>KingWall / KingRoof o SS</t>
  </si>
  <si>
    <t>Dolarcity</t>
  </si>
  <si>
    <t>KingWall</t>
  </si>
  <si>
    <t>Nestlé</t>
  </si>
  <si>
    <t>Planta Bugalagrande</t>
  </si>
  <si>
    <t>KingFrigo</t>
  </si>
  <si>
    <t>Metalmecánica</t>
  </si>
  <si>
    <t>Indulogix</t>
  </si>
  <si>
    <t>Fluitec</t>
  </si>
  <si>
    <t>Nave Sein</t>
  </si>
  <si>
    <t>Ménsula / Conconcreto</t>
  </si>
  <si>
    <t>Viva Suba / Claro</t>
  </si>
  <si>
    <t>KingRoof / Benchmark</t>
  </si>
  <si>
    <t>COPREFA</t>
  </si>
  <si>
    <t>Campamento Modular</t>
  </si>
  <si>
    <t>Tronex Fachada</t>
  </si>
  <si>
    <t>Proyecto Itagüí</t>
  </si>
  <si>
    <t>Xperto</t>
  </si>
  <si>
    <t>Alejandra Navas</t>
  </si>
  <si>
    <t>JT Allum</t>
  </si>
  <si>
    <t>KingRoof</t>
  </si>
  <si>
    <t>Inversiones Cold</t>
  </si>
  <si>
    <t>KingRoof / KingFrigo</t>
  </si>
  <si>
    <t>Grupo Constructor Industrial</t>
  </si>
  <si>
    <t>Planta de líquidos Hada</t>
  </si>
  <si>
    <t>KingWall / King Frio</t>
  </si>
  <si>
    <t>Arklit</t>
  </si>
  <si>
    <t>Proyecto Hiper Santo Domingo</t>
  </si>
  <si>
    <t>Different projects</t>
  </si>
  <si>
    <t>Colcover</t>
  </si>
  <si>
    <t>Henry Acosta</t>
  </si>
  <si>
    <t>Galvaceros</t>
  </si>
  <si>
    <t>Colegios Sucre</t>
  </si>
  <si>
    <t>Joana Perez</t>
  </si>
  <si>
    <t>RFS</t>
  </si>
  <si>
    <t>Juan Carlos Menendez</t>
  </si>
  <si>
    <t>Costa Rica</t>
  </si>
  <si>
    <t>CIA Caribe Mar</t>
  </si>
  <si>
    <t>Antártica</t>
  </si>
  <si>
    <t>Panandina Data Center</t>
  </si>
  <si>
    <t>KingRoof / KingWall LMR</t>
  </si>
  <si>
    <t>Espuma SantaFe</t>
  </si>
  <si>
    <t>Bodega Amazon etapa 2</t>
  </si>
  <si>
    <t>Agropecuaria SantaCruz</t>
  </si>
  <si>
    <t>Cuarto Frío</t>
  </si>
  <si>
    <t>Erwin Ríos</t>
  </si>
  <si>
    <t>Tejas Cubiertas e Ingeniería</t>
  </si>
  <si>
    <t>Edwar Salazar</t>
  </si>
  <si>
    <t>Técnica Industrial Duarte</t>
  </si>
  <si>
    <t>Stock</t>
  </si>
  <si>
    <t>Validaciones de datos – deck original vs motor</t>
  </si>
  <si>
    <t>Inconsistencias detectadas al reconstruir el reporte (revisar con la fuente)</t>
  </si>
  <si>
    <t>Puntos abiertos (deben ser 0 antes del deck final):</t>
  </si>
  <si>
    <t>Slide</t>
  </si>
  <si>
    <t>Hallazgo</t>
  </si>
  <si>
    <t>Tratamiento en esta versión</t>
  </si>
  <si>
    <t>Cifra validada / responsable</t>
  </si>
  <si>
    <t>Commercial Overview</t>
  </si>
  <si>
    <t>Order Intake rotulado "August" y YTD "1,293,5K m²"; la tabla OI muestra Sep = 146.446 y YTD = 1.239.541.</t>
  </si>
  <si>
    <t>Se rotula Sep-26 y se usa 1.239.541 (YoY +25,4%).</t>
  </si>
  <si>
    <t>Cerrado</t>
  </si>
  <si>
    <t>Ventas: solo se reportan % (YoY, MoM); no hay PY ni mes anterior absolutos.</t>
  </si>
  <si>
    <t>PY y Ago derivados del %; marcados como input a reemplazar.</t>
  </si>
  <si>
    <t>Order Intake / Backlog</t>
  </si>
  <si>
    <t>Tarjetas de margen dicen "August 2026".</t>
  </si>
  <si>
    <t>Se rotulan Sep-26.</t>
  </si>
  <si>
    <t>Performed / Forecast</t>
  </si>
  <si>
    <t>Ingreso Jul = 13.652.194 (duplica Jun). Con el valor del gráfico (11.718.909) el acumulado YTD cuadra con 130.176 COP MM.</t>
  </si>
  <si>
    <t>Jul corregido → cierre forecast 172.899 COP MM (+31,8% YoY) en lugar de 174.832 (+33%).</t>
  </si>
  <si>
    <t>Acumulado volumen Ene = 86.671 (debe ser 104.582) y acumulado ingreso Ene = 7.958.800 (es el PY).</t>
  </si>
  <si>
    <t>Acumulados recalculados por fórmula.</t>
  </si>
  <si>
    <t>Gráfico OI Abr = 13.170 COP MM vs tabla Performed 12.270.</t>
  </si>
  <si>
    <t>Se usa 12.270 (cuadra con YTD 130.176). Validar.</t>
  </si>
  <si>
    <t>Backlog</t>
  </si>
  <si>
    <t>Ingreso PY = 10.617 (duplica Single Skin PY).</t>
  </si>
  <si>
    <t>Se usa 33.248 COP MM (gráfico de progresión Sep-25).</t>
  </si>
  <si>
    <t>Key Projects Industrial</t>
  </si>
  <si>
    <t>Suma de filas m² = 662.771 vs total reportado 658.771 (USD cuadra: 21.038.017).</t>
  </si>
  <si>
    <t>Se usa suma por fórmula; validar m² de alguna fila.</t>
  </si>
  <si>
    <t>Se reportan 38 proyectos; la tabla tiene 26 filas + "Others".</t>
  </si>
  <si>
    <t>Se asume que "Others" agrupa 12 proyectos.</t>
  </si>
  <si>
    <t>Top pedidos con encabezado "USD (mm)" y valores $306/$236/$173.</t>
  </si>
  <si>
    <t>Se conserva la unidad del deck; validar (¿USD miles?).</t>
  </si>
  <si>
    <t>Por canal (03 y 05)</t>
  </si>
  <si>
    <t>No hay OI/backlog mensual por canal ni PY/GM por canal en el deck.</t>
  </si>
  <si>
    <t>YTD y backlog por canal se toman de las tablas RSM; CM/PY/GM quedan como input.</t>
  </si>
  <si>
    <t>Overview / OI / Performed</t>
  </si>
  <si>
    <t>OI YTD: 1.239.541 m² (tabla OI) vs 1.228.503 m² (Performed, junio corregido).</t>
  </si>
  <si>
    <t>Definir una sola cifra y alinear slides 3–4 y 8.</t>
  </si>
  <si>
    <t>Abierto</t>
  </si>
  <si>
    <t>Overview</t>
  </si>
  <si>
    <t>Top pedidos del mes en "USD (mm)" con nota "to be validated".</t>
  </si>
  <si>
    <t>Confirmar unidad y retirar la nota.</t>
  </si>
  <si>
    <t>Ventas PY y agosto derivadas de %.</t>
  </si>
  <si>
    <t>Reemplazar con dato real del ERP.</t>
  </si>
  <si>
    <t>Top Opportunities</t>
  </si>
  <si>
    <t>Fecha Construplan (nov vs dic) y % Ménsula fuera de la base.</t>
  </si>
  <si>
    <t>Confirmar en hoja Pipeline.</t>
  </si>
  <si>
    <t>Backlog canal</t>
  </si>
  <si>
    <t>Otras Geografías: 135.403 (ERP) vs 136.712 (suma RSM).</t>
  </si>
  <si>
    <t>Confirmar fuente oficial.</t>
  </si>
  <si>
    <t>Insight "OI YoY 18%": cierre año hoy +20%.</t>
  </si>
  <si>
    <t>Ajustar texto.</t>
  </si>
  <si>
    <t>16 · Iniciativas estratégicas (agosto) – semáforo de seguimiento</t>
  </si>
  <si>
    <t>Slides 15–16. Una fila por iniciativa. Diligenciar meta y resultado numérico para que el % de avance y el estado sugerido se calculen; el estado final se elige en la lista.</t>
  </si>
  <si>
    <t>Iniciativa</t>
  </si>
  <si>
    <t>Compromiso / meta (presentado en agosto)</t>
  </si>
  <si>
    <t>KPI de medición</t>
  </si>
  <si>
    <t>Meta (número)</t>
  </si>
  <si>
    <t>Resultado sep (número)</t>
  </si>
  <si>
    <t>% avance</t>
  </si>
  <si>
    <t>Resultado sep (texto para slide)</t>
  </si>
  <si>
    <t>Estado final</t>
  </si>
  <si>
    <t>Próximo paso</t>
  </si>
  <si>
    <t>Comentarios</t>
  </si>
  <si>
    <t>Inteligencia competitiva / market share</t>
  </si>
  <si>
    <t>Nuevos productos</t>
  </si>
  <si>
    <t>Venezuela y Ecuador</t>
  </si>
  <si>
    <t>Evento Binacional Cúcuta; pipeline VE: CIA Caribe Mar USD 360k (especificación), Prosein + Remar USD 1,47 M; 1 proyecto VE ganado. Cuenta Ecuador por debajo de budget</t>
  </si>
  <si>
    <t>91% del budget de ventas YTD; backlog 64,5k m² (+27% YoY) con margen 30% (+3 pp)</t>
  </si>
  <si>
    <t>Single Skin</t>
  </si>
  <si>
    <t>OI YTD 106k m² (2,8x PY); sep −4% YoY; backlog 40k m² (3,8x PY)</t>
  </si>
  <si>
    <t>Benchmark / línea arquitectónica</t>
  </si>
  <si>
    <t>Benchmark OI YTD 5,8k m² (vs 0,4k PY); backlog 4,7k m²; 49,6k m² especificados línea arquitectónica; fachada Smartfit 599 m²</t>
  </si>
  <si>
    <t>Top 20 proyectos</t>
  </si>
  <si>
    <t>Top 20 abiertos = USD 19,2 M (605k m²), 93% del pipeline abierto; Top 10 ponderado USD 8,3 M</t>
  </si>
  <si>
    <t>Cali-Site</t>
  </si>
  <si>
    <t>96% del budget de ventas YTD; OI YTD 140k m²; backlog 49k m² (margen 37%)</t>
  </si>
  <si>
    <t>Resumen</t>
  </si>
  <si>
    <t>Verde</t>
  </si>
  <si>
    <t>Amarillo</t>
  </si>
  <si>
    <t>Rojo</t>
  </si>
  <si>
    <t>Sin definir</t>
  </si>
  <si>
    <t>Regla estado sugerido: avance ≥90% = Verde · 70–89% = Amarillo · &lt;70% = Rojo. Estado final (lista) prevalece en el slide.</t>
  </si>
  <si>
    <t>17 · De la actividad al impacto</t>
  </si>
  <si>
    <t>Slide 17. Indicadores de actividad (input) conectados con indicadores de impacto (fórmula cuando existe la fuente; input cuando no).</t>
  </si>
  <si>
    <t>Bloque</t>
  </si>
  <si>
    <t>Fuente / nota</t>
  </si>
  <si>
    <t>Actividad</t>
  </si>
  <si>
    <t>15_Highlights</t>
  </si>
  <si>
    <t>personas</t>
  </si>
  <si>
    <t>m² especificados (paneles + arquitectónica)</t>
  </si>
  <si>
    <t>Impacto</t>
  </si>
  <si>
    <t>Oportunidades generadas por la actividad del mes (#)</t>
  </si>
  <si>
    <t>INPUT – CRM: oportunidades creadas en el mes con origen visita/capacitación/especificación</t>
  </si>
  <si>
    <t>Valor de oportunidades generadas (USD)</t>
  </si>
  <si>
    <t>INPUT – CRM</t>
  </si>
  <si>
    <t>Valor pipeline total (USD)</t>
  </si>
  <si>
    <t>Pipeline</t>
  </si>
  <si>
    <t>Closed won (USD)</t>
  </si>
  <si>
    <t>Conversión (closed won / pipeline)</t>
  </si>
  <si>
    <t>Calculado</t>
  </si>
  <si>
    <t>m² especificados convertidos en pedidos</t>
  </si>
  <si>
    <t>INPUT</t>
  </si>
  <si>
    <t>Conversión especificación → pedido</t>
  </si>
  <si>
    <t>Pedidos clientes nuevos (m²)</t>
  </si>
  <si>
    <t>Pedidos clientes nuevos (USD)</t>
  </si>
  <si>
    <t>Order Intake del mes (m²)</t>
  </si>
  <si>
    <t>02_OI</t>
  </si>
  <si>
    <t>RSM_Resumen_Canales</t>
  </si>
  <si>
    <t>Margen OI del mes</t>
  </si>
  <si>
    <t>Ratio</t>
  </si>
  <si>
    <t>USD de pipeline por visita</t>
  </si>
  <si>
    <t>USD/visita</t>
  </si>
  <si>
    <t>Oportunidades generadas por cada 10 visitas</t>
  </si>
  <si>
    <t>18 · Decisiones y próximos pasos</t>
  </si>
  <si>
    <t>Slide 19. Filas 1–5 son propuestas derivadas del análisis: confirmar, editar o eliminar. Estado en lista.</t>
  </si>
  <si>
    <t>Decisión / acción requerida</t>
  </si>
  <si>
    <t>Tipo</t>
  </si>
  <si>
    <t>Impacto esperado</t>
  </si>
  <si>
    <t>Seguimiento / comentario</t>
  </si>
  <si>
    <t>Cubrir territorios Industrial abiertos (Bogotá, cuentas clave) – contratar / reasignar cobertura</t>
  </si>
  <si>
    <t>Decisión</t>
  </si>
  <si>
    <t>~82k m² de budget hoy sin ventas</t>
  </si>
  <si>
    <t>Abierta</t>
  </si>
  <si>
    <t>Plan de recuperación cuentas Ecuador y Costa Rica</t>
  </si>
  <si>
    <t>Acción</t>
  </si>
  <si>
    <t>Cerrar parte de la brecha de −92k m² vs budget</t>
  </si>
  <si>
    <t>Asegurar cierre Top 10 oportunidades (USD 9,4 M esperados en noviembre)</t>
  </si>
  <si>
    <t>USD 8,3 M pipeline ponderado</t>
  </si>
  <si>
    <t>Revisar pricing / mix del backlog Cold Storage</t>
  </si>
  <si>
    <t>Recuperar margen −10,6 pp vs PY</t>
  </si>
  <si>
    <t>Validar cifra única de OI YTD y cerrar notas pendientes antes del deck final</t>
  </si>
  <si>
    <t>Una sola cifra validada para la junta</t>
  </si>
  <si>
    <t>Abiertas / en curso</t>
  </si>
  <si>
    <t xml:space="preserve">Republica Dominicana </t>
  </si>
  <si>
    <t xml:space="preserve">04 · Backlog – Octuber </t>
  </si>
  <si>
    <t xml:space="preserve">02 · Order Intake – Octuber </t>
  </si>
  <si>
    <t>Closed</t>
  </si>
  <si>
    <t>closed</t>
  </si>
  <si>
    <t>Octuber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</si>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</sst>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#,##0;\(#,##0\);\-"/>
    <numFmt numFmtId="165" formatCode="dd\-mmm\-yy"/>
    <numFmt numFmtId="166" formatCode="0.0%"/>
    <numFmt numFmtId="167" formatCode="\+0.0%;\-0.0%"/>
    <numFmt numFmtId="168" formatCode="0.0%;\-0.0%;\-"/>
    <numFmt numFmtId="169" formatCode="0.00\x"/>
    <numFmt numFmtId="170" formatCode="\$#,##0;&quot;($&quot;#,##0\);\-"/>
    <numFmt numFmtId="171" formatCode="\+0.0&quot; pp&quot;;\-0.0&quot; pp&quot;;&quot;0,0 pp&quot;"/>
    <numFmt numFmtId="172" formatCode="#,##0;\(#,##0\);&quot;OK&quot;"/>
    <numFmt numFmtId="173" formatCode="&quot;$ &quot;#,##0"/>
    <numFmt numFmtId="174" formatCode="\+0.0&quot; pp&quot;;\-0.0&quot; pp&quot;"/>
    <numFmt numFmtId="175" formatCode="0.0000"/>
    <numFmt numFmtId="176" formatCode="#,##0.0"/>
    <numFmt numFmtId="177" formatCode="0.000000"/>
    <numFmt numFmtId="178" formatCode="_(* #,##0.00_);_(* \(#,##0.00\);_(* \-??_);_(@_)"/>
    <numFmt numFmtId="179" formatCode="_-* #,##0.00_-;\-* #,##0.00_-;_-* \-??_-;_-@_-"/>
    <numFmt numFmtId="180" formatCode="_(\$* #,##0.00_);_(\$* \(#,##0.00\);_(\$* \-??_);_(@_)"/>
    <numFmt numFmtId="181" formatCode="_-&quot;$ &quot;* #,##0_-;&quot;-$ &quot;* #,##0_-;_-&quot;$ &quot;* \-??_-;_-@_-"/>
    <numFmt numFmtId="182" formatCode="_-* #,##0_-;\-* #,##0_-;_-* \-??_-;_-@_-"/>
    <numFmt numFmtId="183" formatCode="#,##0.##"/>
    <numFmt numFmtId="184" formatCode="\$#,##0"/>
  </numFmts>
  <fonts count="27" x14ac:knownFonts="1">
    <font>
      <sz val="11"/>
      <color theme="1"/>
      <name val="Calibri"/>
      <family val="2"/>
      <charset val="1"/>
    </font>
    <font>
      <b/>
      <sz val="14"/>
      <color rgb="FF061530"/>
      <name val="Arial"/>
      <family val="2"/>
      <charset val="1"/>
    </font>
    <font>
      <b/>
      <sz val="11"/>
      <color rgb="FF061530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rgb="FF061530"/>
      <name val="Arial"/>
      <charset val="1"/>
    </font>
    <font>
      <sz val="10"/>
      <color rgb="FF000000"/>
      <name val="Arial"/>
      <charset val="1"/>
    </font>
    <font>
      <b/>
      <sz val="14"/>
      <color rgb="FF061530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b/>
      <sz val="10"/>
      <name val="Arial"/>
      <charset val="1"/>
    </font>
    <font>
      <i/>
      <sz val="9"/>
      <color rgb="FF595959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color rgb="FF008000"/>
      <name val="Arial"/>
      <family val="2"/>
      <charset val="1"/>
    </font>
    <font>
      <sz val="10"/>
      <color rgb="FF595959"/>
      <name val="Arial"/>
      <charset val="1"/>
    </font>
    <font>
      <sz val="8"/>
      <color rgb="FFBFBFBF"/>
      <name val="Arial"/>
      <charset val="1"/>
    </font>
    <font>
      <b/>
      <sz val="10"/>
      <color rgb="FF0000FF"/>
      <name val="Arial"/>
      <family val="2"/>
      <charset val="1"/>
    </font>
    <font>
      <sz val="10"/>
      <name val="Arial"/>
      <family val="2"/>
      <charset val="1"/>
    </font>
    <font>
      <b/>
      <sz val="10"/>
      <color rgb="FF9C0006"/>
      <name val="Arial"/>
      <charset val="1"/>
    </font>
    <font>
      <sz val="10"/>
      <color rgb="FFFF0000"/>
      <name val="Arial"/>
      <family val="2"/>
      <charset val="1"/>
    </font>
    <font>
      <b/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61530"/>
        <bgColor rgb="FF000000"/>
      </patternFill>
    </fill>
    <fill>
      <patternFill patternType="solid">
        <fgColor rgb="FFFFF2CC"/>
        <bgColor rgb="FFF9F9F9"/>
      </patternFill>
    </fill>
    <fill>
      <patternFill patternType="solid">
        <fgColor rgb="FFDDEBF7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004990"/>
        <bgColor rgb="FF0066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9F9F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178" fontId="23" fillId="0" borderId="0"/>
    <xf numFmtId="180" fontId="23" fillId="0" borderId="0"/>
  </cellStyleXfs>
  <cellXfs count="99">
    <xf numFmtId="0" fontId="0" fillId="0" borderId="0" xfId="0"/>
    <xf numFmtId="0" fontId="10" fillId="3" borderId="1" xfId="0" applyFont="1" applyFill="1" applyBorder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0" fontId="5" fillId="0" borderId="1" xfId="0" applyFont="1" applyBorder="1"/>
    <xf numFmtId="164" fontId="10" fillId="3" borderId="1" xfId="0" applyNumberFormat="1" applyFont="1" applyFill="1" applyBorder="1" applyAlignment="1">
      <alignment vertical="top" wrapText="1"/>
    </xf>
    <xf numFmtId="164" fontId="11" fillId="0" borderId="1" xfId="0" applyNumberFormat="1" applyFont="1" applyBorder="1"/>
    <xf numFmtId="164" fontId="5" fillId="0" borderId="1" xfId="0" applyNumberFormat="1" applyFont="1" applyBorder="1"/>
    <xf numFmtId="9" fontId="5" fillId="0" borderId="1" xfId="0" applyNumberFormat="1" applyFont="1" applyBorder="1"/>
    <xf numFmtId="0" fontId="5" fillId="0" borderId="1" xfId="0" applyFont="1" applyBorder="1" applyAlignment="1">
      <alignment horizontal="center"/>
    </xf>
    <xf numFmtId="165" fontId="10" fillId="3" borderId="1" xfId="0" applyNumberFormat="1" applyFont="1" applyFill="1" applyBorder="1" applyAlignment="1">
      <alignment vertical="top" wrapText="1"/>
    </xf>
    <xf numFmtId="166" fontId="10" fillId="3" borderId="1" xfId="0" applyNumberFormat="1" applyFont="1" applyFill="1" applyBorder="1" applyAlignment="1">
      <alignment vertical="top" wrapText="1"/>
    </xf>
    <xf numFmtId="166" fontId="11" fillId="0" borderId="1" xfId="0" applyNumberFormat="1" applyFont="1" applyBorder="1"/>
    <xf numFmtId="167" fontId="5" fillId="0" borderId="1" xfId="0" applyNumberFormat="1" applyFont="1" applyBorder="1"/>
    <xf numFmtId="1" fontId="10" fillId="0" borderId="1" xfId="0" applyNumberFormat="1" applyFont="1" applyBorder="1"/>
    <xf numFmtId="1" fontId="11" fillId="0" borderId="1" xfId="0" applyNumberFormat="1" applyFont="1" applyBorder="1"/>
    <xf numFmtId="0" fontId="12" fillId="0" borderId="0" xfId="0" applyFont="1"/>
    <xf numFmtId="0" fontId="13" fillId="0" borderId="0" xfId="0" applyFont="1"/>
    <xf numFmtId="0" fontId="14" fillId="2" borderId="1" xfId="0" applyFont="1" applyFill="1" applyBorder="1" applyAlignment="1">
      <alignment horizontal="center" vertical="center" wrapText="1"/>
    </xf>
    <xf numFmtId="0" fontId="15" fillId="0" borderId="1" xfId="0" applyFont="1" applyBorder="1"/>
    <xf numFmtId="164" fontId="16" fillId="3" borderId="1" xfId="0" applyNumberFormat="1" applyFont="1" applyFill="1" applyBorder="1"/>
    <xf numFmtId="168" fontId="3" fillId="0" borderId="1" xfId="0" applyNumberFormat="1" applyFont="1" applyBorder="1"/>
    <xf numFmtId="169" fontId="3" fillId="0" borderId="1" xfId="0" applyNumberFormat="1" applyFont="1" applyBorder="1"/>
    <xf numFmtId="0" fontId="3" fillId="0" borderId="1" xfId="0" applyFont="1" applyBorder="1"/>
    <xf numFmtId="0" fontId="16" fillId="3" borderId="1" xfId="0" applyFont="1" applyFill="1" applyBorder="1"/>
    <xf numFmtId="1" fontId="3" fillId="0" borderId="1" xfId="0" applyNumberFormat="1" applyFont="1" applyBorder="1"/>
    <xf numFmtId="0" fontId="17" fillId="4" borderId="1" xfId="0" applyFont="1" applyFill="1" applyBorder="1"/>
    <xf numFmtId="164" fontId="17" fillId="4" borderId="1" xfId="0" applyNumberFormat="1" applyFont="1" applyFill="1" applyBorder="1"/>
    <xf numFmtId="168" fontId="17" fillId="4" borderId="1" xfId="0" applyNumberFormat="1" applyFont="1" applyFill="1" applyBorder="1"/>
    <xf numFmtId="170" fontId="16" fillId="3" borderId="1" xfId="0" applyNumberFormat="1" applyFont="1" applyFill="1" applyBorder="1"/>
    <xf numFmtId="1" fontId="16" fillId="3" borderId="1" xfId="0" applyNumberFormat="1" applyFont="1" applyFill="1" applyBorder="1"/>
    <xf numFmtId="166" fontId="16" fillId="3" borderId="1" xfId="0" applyNumberFormat="1" applyFont="1" applyFill="1" applyBorder="1"/>
    <xf numFmtId="171" fontId="3" fillId="0" borderId="1" xfId="0" applyNumberFormat="1" applyFont="1" applyBorder="1"/>
    <xf numFmtId="3" fontId="16" fillId="3" borderId="1" xfId="0" applyNumberFormat="1" applyFont="1" applyFill="1" applyBorder="1"/>
    <xf numFmtId="3" fontId="3" fillId="0" borderId="1" xfId="0" applyNumberFormat="1" applyFont="1" applyBorder="1"/>
    <xf numFmtId="3" fontId="17" fillId="4" borderId="1" xfId="0" applyNumberFormat="1" applyFont="1" applyFill="1" applyBorder="1"/>
    <xf numFmtId="172" fontId="3" fillId="0" borderId="1" xfId="0" applyNumberFormat="1" applyFont="1" applyBorder="1"/>
    <xf numFmtId="164" fontId="19" fillId="0" borderId="1" xfId="0" applyNumberFormat="1" applyFont="1" applyBorder="1"/>
    <xf numFmtId="9" fontId="3" fillId="0" borderId="1" xfId="0" applyNumberFormat="1" applyFont="1" applyBorder="1"/>
    <xf numFmtId="168" fontId="3" fillId="0" borderId="1" xfId="0" applyNumberFormat="1" applyFont="1" applyBorder="1" applyAlignment="1">
      <alignment horizontal="right"/>
    </xf>
    <xf numFmtId="171" fontId="17" fillId="4" borderId="1" xfId="0" applyNumberFormat="1" applyFont="1" applyFill="1" applyBorder="1"/>
    <xf numFmtId="9" fontId="17" fillId="4" borderId="1" xfId="0" applyNumberFormat="1" applyFont="1" applyFill="1" applyBorder="1"/>
    <xf numFmtId="164" fontId="3" fillId="0" borderId="1" xfId="0" applyNumberFormat="1" applyFont="1" applyBorder="1"/>
    <xf numFmtId="164" fontId="0" fillId="0" borderId="0" xfId="0" applyNumberFormat="1"/>
    <xf numFmtId="173" fontId="16" fillId="3" borderId="1" xfId="0" applyNumberFormat="1" applyFont="1" applyFill="1" applyBorder="1"/>
    <xf numFmtId="164" fontId="15" fillId="0" borderId="1" xfId="0" applyNumberFormat="1" applyFont="1" applyBorder="1"/>
    <xf numFmtId="3" fontId="15" fillId="0" borderId="1" xfId="0" applyNumberFormat="1" applyFont="1" applyBorder="1"/>
    <xf numFmtId="0" fontId="15" fillId="5" borderId="1" xfId="0" applyFont="1" applyFill="1" applyBorder="1"/>
    <xf numFmtId="164" fontId="3" fillId="5" borderId="1" xfId="0" applyNumberFormat="1" applyFont="1" applyFill="1" applyBorder="1"/>
    <xf numFmtId="3" fontId="3" fillId="5" borderId="1" xfId="0" applyNumberFormat="1" applyFont="1" applyFill="1" applyBorder="1"/>
    <xf numFmtId="173" fontId="3" fillId="0" borderId="1" xfId="0" applyNumberFormat="1" applyFont="1" applyBorder="1"/>
    <xf numFmtId="170" fontId="3" fillId="0" borderId="1" xfId="0" applyNumberFormat="1" applyFont="1" applyBorder="1"/>
    <xf numFmtId="165" fontId="3" fillId="0" borderId="1" xfId="0" applyNumberFormat="1" applyFont="1" applyBorder="1"/>
    <xf numFmtId="170" fontId="17" fillId="4" borderId="1" xfId="0" applyNumberFormat="1" applyFont="1" applyFill="1" applyBorder="1"/>
    <xf numFmtId="1" fontId="17" fillId="4" borderId="1" xfId="0" applyNumberFormat="1" applyFont="1" applyFill="1" applyBorder="1"/>
    <xf numFmtId="0" fontId="8" fillId="6" borderId="1" xfId="0" applyFont="1" applyFill="1" applyBorder="1" applyAlignment="1">
      <alignment horizontal="center" vertical="center" wrapText="1"/>
    </xf>
    <xf numFmtId="0" fontId="20" fillId="0" borderId="1" xfId="0" applyFont="1" applyBorder="1"/>
    <xf numFmtId="174" fontId="5" fillId="0" borderId="1" xfId="0" applyNumberFormat="1" applyFont="1" applyBorder="1"/>
    <xf numFmtId="169" fontId="5" fillId="0" borderId="1" xfId="0" applyNumberFormat="1" applyFont="1" applyBorder="1"/>
    <xf numFmtId="175" fontId="21" fillId="0" borderId="1" xfId="0" applyNumberFormat="1" applyFont="1" applyBorder="1"/>
    <xf numFmtId="1" fontId="5" fillId="0" borderId="1" xfId="0" applyNumberFormat="1" applyFont="1" applyBorder="1"/>
    <xf numFmtId="0" fontId="9" fillId="4" borderId="1" xfId="0" applyFont="1" applyFill="1" applyBorder="1"/>
    <xf numFmtId="164" fontId="9" fillId="4" borderId="1" xfId="0" applyNumberFormat="1" applyFont="1" applyFill="1" applyBorder="1"/>
    <xf numFmtId="9" fontId="9" fillId="4" borderId="1" xfId="0" applyNumberFormat="1" applyFont="1" applyFill="1" applyBorder="1"/>
    <xf numFmtId="166" fontId="9" fillId="4" borderId="1" xfId="0" applyNumberFormat="1" applyFont="1" applyFill="1" applyBorder="1"/>
    <xf numFmtId="174" fontId="9" fillId="4" borderId="1" xfId="0" applyNumberFormat="1" applyFont="1" applyFill="1" applyBorder="1"/>
    <xf numFmtId="169" fontId="9" fillId="4" borderId="1" xfId="0" applyNumberFormat="1" applyFont="1" applyFill="1" applyBorder="1"/>
    <xf numFmtId="166" fontId="5" fillId="0" borderId="1" xfId="0" applyNumberFormat="1" applyFont="1" applyBorder="1"/>
    <xf numFmtId="176" fontId="5" fillId="0" borderId="1" xfId="0" applyNumberFormat="1" applyFont="1" applyBorder="1"/>
    <xf numFmtId="176" fontId="9" fillId="4" borderId="1" xfId="0" applyNumberFormat="1" applyFont="1" applyFill="1" applyBorder="1"/>
    <xf numFmtId="0" fontId="14" fillId="6" borderId="1" xfId="0" applyFont="1" applyFill="1" applyBorder="1" applyAlignment="1">
      <alignment horizontal="center" vertical="center" wrapText="1"/>
    </xf>
    <xf numFmtId="164" fontId="22" fillId="3" borderId="1" xfId="0" applyNumberFormat="1" applyFont="1" applyFill="1" applyBorder="1"/>
    <xf numFmtId="0" fontId="3" fillId="0" borderId="1" xfId="0" applyFont="1" applyBorder="1" applyAlignment="1">
      <alignment horizontal="center"/>
    </xf>
    <xf numFmtId="177" fontId="3" fillId="0" borderId="1" xfId="0" applyNumberFormat="1" applyFont="1" applyBorder="1"/>
    <xf numFmtId="179" fontId="23" fillId="0" borderId="0" xfId="1" applyNumberFormat="1"/>
    <xf numFmtId="9" fontId="16" fillId="3" borderId="1" xfId="0" applyNumberFormat="1" applyFont="1" applyFill="1" applyBorder="1"/>
    <xf numFmtId="165" fontId="16" fillId="3" borderId="1" xfId="0" applyNumberFormat="1" applyFont="1" applyFill="1" applyBorder="1"/>
    <xf numFmtId="181" fontId="23" fillId="0" borderId="1" xfId="2" applyNumberFormat="1" applyBorder="1"/>
    <xf numFmtId="182" fontId="23" fillId="0" borderId="1" xfId="1" applyNumberFormat="1" applyBorder="1"/>
    <xf numFmtId="0" fontId="24" fillId="0" borderId="0" xfId="0" applyFont="1"/>
    <xf numFmtId="0" fontId="8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83" fontId="10" fillId="3" borderId="1" xfId="0" applyNumberFormat="1" applyFont="1" applyFill="1" applyBorder="1" applyAlignment="1">
      <alignment vertical="top" wrapText="1"/>
    </xf>
    <xf numFmtId="176" fontId="10" fillId="3" borderId="1" xfId="0" applyNumberFormat="1" applyFont="1" applyFill="1" applyBorder="1" applyAlignment="1">
      <alignment vertical="top" wrapText="1"/>
    </xf>
    <xf numFmtId="184" fontId="10" fillId="3" borderId="1" xfId="0" applyNumberFormat="1" applyFont="1" applyFill="1" applyBorder="1" applyAlignment="1">
      <alignment vertical="top" wrapText="1"/>
    </xf>
    <xf numFmtId="184" fontId="11" fillId="0" borderId="1" xfId="0" applyNumberFormat="1" applyFont="1" applyBorder="1"/>
    <xf numFmtId="184" fontId="5" fillId="0" borderId="1" xfId="0" applyNumberFormat="1" applyFont="1" applyBorder="1"/>
    <xf numFmtId="164" fontId="25" fillId="3" borderId="1" xfId="0" applyNumberFormat="1" applyFont="1" applyFill="1" applyBorder="1"/>
    <xf numFmtId="164" fontId="26" fillId="7" borderId="1" xfId="0" applyNumberFormat="1" applyFont="1" applyFill="1" applyBorder="1"/>
    <xf numFmtId="164" fontId="26" fillId="8" borderId="1" xfId="0" applyNumberFormat="1" applyFont="1" applyFill="1" applyBorder="1"/>
    <xf numFmtId="0" fontId="10" fillId="3" borderId="1" xfId="0" applyFont="1" applyFill="1" applyBorder="1" applyAlignment="1">
      <alignment vertical="top" wrapText="1"/>
    </xf>
  </cellXfs>
  <cellStyles count="3">
    <cellStyle name="Millares" xfId="1" builtinId="3"/>
    <cellStyle name="Moneda" xfId="2" builtinId="4"/>
    <cellStyle name="Normal" xfId="0" builtinId="0"/>
  </cellStyles>
  <dxfs count="56">
    <dxf>
      <font>
        <b/>
        <color rgb="FFFFFFFF"/>
      </font>
      <fill>
        <patternFill>
          <bgColor rgb="FFEE2424"/>
        </patternFill>
      </fill>
    </dxf>
    <dxf>
      <font>
        <b/>
        <color rgb="FF061530"/>
      </font>
      <fill>
        <patternFill>
          <bgColor rgb="FFFFC000"/>
        </patternFill>
      </fill>
    </dxf>
    <dxf>
      <font>
        <b/>
        <color rgb="FFFFFFFF"/>
      </font>
      <fill>
        <patternFill>
          <bgColor rgb="FF2BB673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FFFFFF"/>
      </font>
      <fill>
        <patternFill>
          <bgColor rgb="FFEE2424"/>
        </patternFill>
      </fill>
    </dxf>
    <dxf>
      <font>
        <b/>
        <color rgb="FF061530"/>
      </font>
      <fill>
        <patternFill>
          <bgColor rgb="FFFF8A1F"/>
        </patternFill>
      </fill>
    </dxf>
    <dxf>
      <font>
        <b/>
        <color rgb="FF061530"/>
      </font>
      <fill>
        <patternFill>
          <bgColor rgb="FF7FD36B"/>
        </patternFill>
      </fill>
    </dxf>
    <dxf>
      <font>
        <b/>
        <color rgb="FFFFFFFF"/>
      </font>
      <fill>
        <patternFill>
          <bgColor rgb="FF1E9E4A"/>
        </patternFill>
      </fill>
    </dxf>
    <dxf>
      <font>
        <b/>
        <color rgb="FFFFFFFF"/>
      </font>
      <fill>
        <patternFill>
          <bgColor rgb="FFEE2424"/>
        </patternFill>
      </fill>
    </dxf>
    <dxf>
      <font>
        <b/>
        <color rgb="FF061530"/>
      </font>
      <fill>
        <patternFill>
          <bgColor rgb="FFFF8A1F"/>
        </patternFill>
      </fill>
    </dxf>
    <dxf>
      <font>
        <b/>
        <color rgb="FF061530"/>
      </font>
      <fill>
        <patternFill>
          <bgColor rgb="FF7FD36B"/>
        </patternFill>
      </fill>
    </dxf>
    <dxf>
      <font>
        <b/>
        <color rgb="FFFFFFFF"/>
      </font>
      <fill>
        <patternFill>
          <bgColor rgb="FF1E9E4A"/>
        </patternFill>
      </fill>
    </dxf>
    <dxf>
      <font>
        <b/>
        <color rgb="FFFFFFFF"/>
      </font>
      <fill>
        <patternFill>
          <bgColor rgb="FFEE2424"/>
        </patternFill>
      </fill>
    </dxf>
    <dxf>
      <font>
        <b/>
        <color rgb="FF061530"/>
      </font>
      <fill>
        <patternFill>
          <bgColor rgb="FFFF8A1F"/>
        </patternFill>
      </fill>
    </dxf>
    <dxf>
      <font>
        <b/>
        <color rgb="FF061530"/>
      </font>
      <fill>
        <patternFill>
          <bgColor rgb="FF7FD36B"/>
        </patternFill>
      </fill>
    </dxf>
    <dxf>
      <font>
        <b/>
        <color rgb="FFFFFFFF"/>
      </font>
      <fill>
        <patternFill>
          <bgColor rgb="FF1E9E4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FFFFFF"/>
      </font>
      <fill>
        <patternFill>
          <bgColor rgb="FFEE2424"/>
        </patternFill>
      </fill>
    </dxf>
    <dxf>
      <font>
        <b/>
        <color rgb="FF061530"/>
      </font>
      <fill>
        <patternFill>
          <bgColor rgb="FFFFC000"/>
        </patternFill>
      </fill>
    </dxf>
    <dxf>
      <font>
        <b/>
        <color rgb="FFFFFFFF"/>
      </font>
      <fill>
        <patternFill>
          <bgColor rgb="FF2BB67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EE2424"/>
      <rgbColor rgb="FF00FF00"/>
      <rgbColor rgb="FF0000FF"/>
      <rgbColor rgb="FFFFFF00"/>
      <rgbColor rgb="FFFF00FF"/>
      <rgbColor rgb="FF00EDB6"/>
      <rgbColor rgb="FF9C0006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6EFCE"/>
      <rgbColor rgb="FFFFEB9C"/>
      <rgbColor rgb="FF7FD36B"/>
      <rgbColor rgb="FFFF99CC"/>
      <rgbColor rgb="FFCC99FF"/>
      <rgbColor rgb="FFFFC7CE"/>
      <rgbColor rgb="FF4F81BD"/>
      <rgbColor rgb="FF2BB673"/>
      <rgbColor rgb="FF98B855"/>
      <rgbColor rgb="FFFFC000"/>
      <rgbColor rgb="FFFF8A1F"/>
      <rgbColor rgb="FFFF6600"/>
      <rgbColor rgb="FF595959"/>
      <rgbColor rgb="FFB3B3B3"/>
      <rgbColor rgb="FF004990"/>
      <rgbColor rgb="FF1E9E4A"/>
      <rgbColor rgb="FF061530"/>
      <rgbColor rgb="FF0061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CO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OI – Ingresos CY vs PY (COP 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'02_OI'!$G$14</c:f>
              <c:strCache>
                <c:ptCount val="1"/>
                <c:pt idx="0">
                  <c:v>Fuente gráfico: CY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'02_OI'!$B$15:$B$26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'02_OI'!$G$15:$G$26</c:f>
              <c:numCache>
                <c:formatCode>#,##0</c:formatCode>
                <c:ptCount val="12"/>
                <c:pt idx="0">
                  <c:v>9968.1659999999993</c:v>
                </c:pt>
                <c:pt idx="1">
                  <c:v>12767.714</c:v>
                </c:pt>
                <c:pt idx="2">
                  <c:v>14462.924999999999</c:v>
                </c:pt>
                <c:pt idx="3">
                  <c:v>12270.448</c:v>
                </c:pt>
                <c:pt idx="4">
                  <c:v>27093.858</c:v>
                </c:pt>
                <c:pt idx="5">
                  <c:v>13652.194</c:v>
                </c:pt>
                <c:pt idx="6">
                  <c:v>11718.909</c:v>
                </c:pt>
                <c:pt idx="7">
                  <c:v>14500.72</c:v>
                </c:pt>
                <c:pt idx="8">
                  <c:v>13740.67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4C-4569-BF35-9412D0436B7B}"/>
            </c:ext>
          </c:extLst>
        </c:ser>
        <c:ser>
          <c:idx val="1"/>
          <c:order val="1"/>
          <c:tx>
            <c:strRef>
              <c:f>'02_OI'!$H$14</c:f>
              <c:strCache>
                <c:ptCount val="1"/>
                <c:pt idx="0">
                  <c:v>Fuente gráfico: PY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'02_OI'!$B$15:$B$26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'02_OI'!$H$15:$H$26</c:f>
              <c:numCache>
                <c:formatCode>#,##0</c:formatCode>
                <c:ptCount val="12"/>
                <c:pt idx="0">
                  <c:v>7958.8</c:v>
                </c:pt>
                <c:pt idx="1">
                  <c:v>10536.7</c:v>
                </c:pt>
                <c:pt idx="2">
                  <c:v>12471.2</c:v>
                </c:pt>
                <c:pt idx="3">
                  <c:v>9577</c:v>
                </c:pt>
                <c:pt idx="4">
                  <c:v>8092</c:v>
                </c:pt>
                <c:pt idx="5">
                  <c:v>11810.8</c:v>
                </c:pt>
                <c:pt idx="6">
                  <c:v>7612.5</c:v>
                </c:pt>
                <c:pt idx="7">
                  <c:v>16772.599999999999</c:v>
                </c:pt>
                <c:pt idx="8">
                  <c:v>10673.6</c:v>
                </c:pt>
                <c:pt idx="9">
                  <c:v>12723.1</c:v>
                </c:pt>
                <c:pt idx="10">
                  <c:v>12445.1</c:v>
                </c:pt>
                <c:pt idx="11">
                  <c:v>10462.4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4C-4569-BF35-9412D0436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786581"/>
        <c:axId val="45150890"/>
      </c:barChart>
      <c:lineChart>
        <c:grouping val="standard"/>
        <c:varyColors val="0"/>
        <c:ser>
          <c:idx val="2"/>
          <c:order val="2"/>
          <c:tx>
            <c:strRef>
              <c:f>'02_OI'!$F$14</c:f>
              <c:strCache>
                <c:ptCount val="1"/>
                <c:pt idx="0">
                  <c:v>Margen CY %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'02_OI'!$B$15:$B$26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'02_OI'!$F$15:$F$26</c:f>
              <c:numCache>
                <c:formatCode>0.0%</c:formatCode>
                <c:ptCount val="12"/>
                <c:pt idx="0">
                  <c:v>0.251</c:v>
                </c:pt>
                <c:pt idx="1">
                  <c:v>0.254</c:v>
                </c:pt>
                <c:pt idx="2">
                  <c:v>0.26100000000000001</c:v>
                </c:pt>
                <c:pt idx="3">
                  <c:v>0.25700000000000001</c:v>
                </c:pt>
                <c:pt idx="4">
                  <c:v>0.20899999999999999</c:v>
                </c:pt>
                <c:pt idx="5">
                  <c:v>0.28499999999999998</c:v>
                </c:pt>
                <c:pt idx="6">
                  <c:v>0.27300000000000002</c:v>
                </c:pt>
                <c:pt idx="7">
                  <c:v>0.26800000000000002</c:v>
                </c:pt>
                <c:pt idx="8">
                  <c:v>0.27100000000000002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94C-4569-BF35-9412D0436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7387969"/>
        <c:axId val="24005146"/>
      </c:lineChart>
      <c:catAx>
        <c:axId val="7878658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45150890"/>
        <c:crosses val="autoZero"/>
        <c:auto val="1"/>
        <c:lblAlgn val="ctr"/>
        <c:lblOffset val="100"/>
        <c:noMultiLvlLbl val="0"/>
      </c:catAx>
      <c:valAx>
        <c:axId val="451508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CO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COP 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78786581"/>
        <c:crosses val="autoZero"/>
        <c:crossBetween val="between"/>
      </c:valAx>
      <c:catAx>
        <c:axId val="7738796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24005146"/>
        <c:crosses val="autoZero"/>
        <c:auto val="1"/>
        <c:lblAlgn val="ctr"/>
        <c:lblOffset val="100"/>
        <c:noMultiLvlLbl val="0"/>
      </c:catAx>
      <c:valAx>
        <c:axId val="2400514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77387969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OI – Ingresos CY vs PY (COP 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'02_OI'!$G$14</c:f>
              <c:strCache>
                <c:ptCount val="1"/>
                <c:pt idx="0">
                  <c:v>Fuente gráfico: CY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'02_OI'!$B$15:$B$26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'02_OI'!$G$15:$G$26</c:f>
              <c:numCache>
                <c:formatCode>#,##0</c:formatCode>
                <c:ptCount val="12"/>
                <c:pt idx="0">
                  <c:v>9968.1659999999993</c:v>
                </c:pt>
                <c:pt idx="1">
                  <c:v>12767.714</c:v>
                </c:pt>
                <c:pt idx="2">
                  <c:v>14462.924999999999</c:v>
                </c:pt>
                <c:pt idx="3">
                  <c:v>12270.448</c:v>
                </c:pt>
                <c:pt idx="4">
                  <c:v>27093.858</c:v>
                </c:pt>
                <c:pt idx="5">
                  <c:v>13652.194</c:v>
                </c:pt>
                <c:pt idx="6">
                  <c:v>11718.909</c:v>
                </c:pt>
                <c:pt idx="7">
                  <c:v>14500.72</c:v>
                </c:pt>
                <c:pt idx="8">
                  <c:v>13740.67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1C-4C1B-AFC5-FDC43531A304}"/>
            </c:ext>
          </c:extLst>
        </c:ser>
        <c:ser>
          <c:idx val="1"/>
          <c:order val="1"/>
          <c:tx>
            <c:strRef>
              <c:f>'02_OI'!$H$14</c:f>
              <c:strCache>
                <c:ptCount val="1"/>
                <c:pt idx="0">
                  <c:v>Fuente gráfico: PY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'02_OI'!$B$15:$B$26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'02_OI'!$H$15:$H$26</c:f>
              <c:numCache>
                <c:formatCode>#,##0</c:formatCode>
                <c:ptCount val="12"/>
                <c:pt idx="0">
                  <c:v>7958.8</c:v>
                </c:pt>
                <c:pt idx="1">
                  <c:v>10536.7</c:v>
                </c:pt>
                <c:pt idx="2">
                  <c:v>12471.2</c:v>
                </c:pt>
                <c:pt idx="3">
                  <c:v>9577</c:v>
                </c:pt>
                <c:pt idx="4">
                  <c:v>8092</c:v>
                </c:pt>
                <c:pt idx="5">
                  <c:v>11810.8</c:v>
                </c:pt>
                <c:pt idx="6">
                  <c:v>7612.5</c:v>
                </c:pt>
                <c:pt idx="7">
                  <c:v>16772.599999999999</c:v>
                </c:pt>
                <c:pt idx="8">
                  <c:v>10673.6</c:v>
                </c:pt>
                <c:pt idx="9">
                  <c:v>12723.1</c:v>
                </c:pt>
                <c:pt idx="10">
                  <c:v>12445.1</c:v>
                </c:pt>
                <c:pt idx="11">
                  <c:v>10462.4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1C-4C1B-AFC5-FDC43531A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883377"/>
        <c:axId val="23797562"/>
      </c:barChart>
      <c:lineChart>
        <c:grouping val="standard"/>
        <c:varyColors val="0"/>
        <c:ser>
          <c:idx val="2"/>
          <c:order val="2"/>
          <c:tx>
            <c:strRef>
              <c:f>'02_OI'!$F$14</c:f>
              <c:strCache>
                <c:ptCount val="1"/>
                <c:pt idx="0">
                  <c:v>Margen CY %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'02_OI'!$B$15:$B$26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'02_OI'!$F$15:$F$26</c:f>
              <c:numCache>
                <c:formatCode>0.0%</c:formatCode>
                <c:ptCount val="12"/>
                <c:pt idx="0">
                  <c:v>0.251</c:v>
                </c:pt>
                <c:pt idx="1">
                  <c:v>0.254</c:v>
                </c:pt>
                <c:pt idx="2">
                  <c:v>0.26100000000000001</c:v>
                </c:pt>
                <c:pt idx="3">
                  <c:v>0.25700000000000001</c:v>
                </c:pt>
                <c:pt idx="4">
                  <c:v>0.20899999999999999</c:v>
                </c:pt>
                <c:pt idx="5">
                  <c:v>0.28499999999999998</c:v>
                </c:pt>
                <c:pt idx="6">
                  <c:v>0.27300000000000002</c:v>
                </c:pt>
                <c:pt idx="7">
                  <c:v>0.26800000000000002</c:v>
                </c:pt>
                <c:pt idx="8">
                  <c:v>0.27100000000000002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91C-4C1B-AFC5-FDC43531A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0784650"/>
        <c:axId val="98552100"/>
      </c:lineChart>
      <c:catAx>
        <c:axId val="488833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23797562"/>
        <c:crosses val="autoZero"/>
        <c:auto val="1"/>
        <c:lblAlgn val="ctr"/>
        <c:lblOffset val="100"/>
        <c:noMultiLvlLbl val="0"/>
      </c:catAx>
      <c:valAx>
        <c:axId val="2379756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48883377"/>
        <c:crosses val="autoZero"/>
        <c:crossBetween val="between"/>
      </c:valAx>
      <c:catAx>
        <c:axId val="607846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98552100"/>
        <c:crosses val="autoZero"/>
        <c:auto val="1"/>
        <c:lblAlgn val="ctr"/>
        <c:lblOffset val="100"/>
        <c:noMultiLvlLbl val="0"/>
      </c:catAx>
      <c:valAx>
        <c:axId val="9855210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60784650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CO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OI YTD por canal (m²)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'03_OI_Canal'!$H$4</c:f>
              <c:strCache>
                <c:ptCount val="1"/>
                <c:pt idx="0">
                  <c:v>OI YTD m² (RSM)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'03_OI_Canal'!$A$5:$A$10</c:f>
              <c:strCache>
                <c:ptCount val="6"/>
                <c:pt idx="0">
                  <c:v>Industrial</c:v>
                </c:pt>
                <c:pt idx="1">
                  <c:v>Distribución</c:v>
                </c:pt>
                <c:pt idx="2">
                  <c:v>Otras Geografías</c:v>
                </c:pt>
                <c:pt idx="3">
                  <c:v>Cold Storage</c:v>
                </c:pt>
                <c:pt idx="4">
                  <c:v>Site Cali</c:v>
                </c:pt>
                <c:pt idx="5">
                  <c:v>Ventas Alternativas</c:v>
                </c:pt>
              </c:strCache>
            </c:strRef>
          </c:cat>
          <c:val>
            <c:numRef>
              <c:f>'03_OI_Canal'!$H$5:$H$10</c:f>
              <c:numCache>
                <c:formatCode>#,##0;\(#,##0\);\-</c:formatCode>
                <c:ptCount val="6"/>
                <c:pt idx="0">
                  <c:v>430568</c:v>
                </c:pt>
                <c:pt idx="1">
                  <c:v>236351</c:v>
                </c:pt>
                <c:pt idx="2">
                  <c:v>367237</c:v>
                </c:pt>
                <c:pt idx="3">
                  <c:v>36425</c:v>
                </c:pt>
                <c:pt idx="4">
                  <c:v>140132</c:v>
                </c:pt>
                <c:pt idx="5">
                  <c:v>58411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E6-4580-8EA4-6670B9443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461582"/>
        <c:axId val="4417853"/>
      </c:barChart>
      <c:catAx>
        <c:axId val="8846158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4417853"/>
        <c:crosses val="autoZero"/>
        <c:auto val="1"/>
        <c:lblAlgn val="ctr"/>
        <c:lblOffset val="100"/>
        <c:noMultiLvlLbl val="0"/>
      </c:catAx>
      <c:valAx>
        <c:axId val="441785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884615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OI YTD por canal (m²)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'03_OI_Canal'!$H$4</c:f>
              <c:strCache>
                <c:ptCount val="1"/>
                <c:pt idx="0">
                  <c:v>OI YTD m² (RSM)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'03_OI_Canal'!$A$5:$A$10</c:f>
              <c:strCache>
                <c:ptCount val="6"/>
                <c:pt idx="0">
                  <c:v>Industrial</c:v>
                </c:pt>
                <c:pt idx="1">
                  <c:v>Distribución</c:v>
                </c:pt>
                <c:pt idx="2">
                  <c:v>Otras Geografías</c:v>
                </c:pt>
                <c:pt idx="3">
                  <c:v>Cold Storage</c:v>
                </c:pt>
                <c:pt idx="4">
                  <c:v>Site Cali</c:v>
                </c:pt>
                <c:pt idx="5">
                  <c:v>Ventas Alternativas</c:v>
                </c:pt>
              </c:strCache>
            </c:strRef>
          </c:cat>
          <c:val>
            <c:numRef>
              <c:f>'03_OI_Canal'!$H$5:$H$10</c:f>
              <c:numCache>
                <c:formatCode>#,##0;\(#,##0\);\-</c:formatCode>
                <c:ptCount val="6"/>
                <c:pt idx="0">
                  <c:v>430568</c:v>
                </c:pt>
                <c:pt idx="1">
                  <c:v>236351</c:v>
                </c:pt>
                <c:pt idx="2">
                  <c:v>367237</c:v>
                </c:pt>
                <c:pt idx="3">
                  <c:v>36425</c:v>
                </c:pt>
                <c:pt idx="4">
                  <c:v>140132</c:v>
                </c:pt>
                <c:pt idx="5">
                  <c:v>58411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B2-4D1F-BA59-AAFB5E9EF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651821"/>
        <c:axId val="30617465"/>
      </c:barChart>
      <c:catAx>
        <c:axId val="3165182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30617465"/>
        <c:crosses val="autoZero"/>
        <c:auto val="1"/>
        <c:lblAlgn val="ctr"/>
        <c:lblOffset val="100"/>
        <c:noMultiLvlLbl val="0"/>
      </c:catAx>
      <c:valAx>
        <c:axId val="30617465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316518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CO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Backlog CY vs PY (COP 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'04_Backlog'!$C$13</c:f>
              <c:strCache>
                <c:ptCount val="1"/>
                <c:pt idx="0">
                  <c:v>Backlog CY (COP MM)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'04_Backlog'!$B$14:$B$25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'04_Backlog'!$C$14:$C$25</c:f>
              <c:numCache>
                <c:formatCode>#,##0</c:formatCode>
                <c:ptCount val="12"/>
                <c:pt idx="0">
                  <c:v>35566.1</c:v>
                </c:pt>
                <c:pt idx="1">
                  <c:v>36104.5</c:v>
                </c:pt>
                <c:pt idx="2">
                  <c:v>39420.9</c:v>
                </c:pt>
                <c:pt idx="3">
                  <c:v>38886.800000000003</c:v>
                </c:pt>
                <c:pt idx="4">
                  <c:v>55927.6</c:v>
                </c:pt>
                <c:pt idx="5">
                  <c:v>56477.9</c:v>
                </c:pt>
                <c:pt idx="6">
                  <c:v>57136.5</c:v>
                </c:pt>
                <c:pt idx="7">
                  <c:v>51456.1</c:v>
                </c:pt>
                <c:pt idx="8">
                  <c:v>50189</c:v>
                </c:pt>
                <c:pt idx="9">
                  <c:v>49836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2C-49E2-A309-695CA3981BC9}"/>
            </c:ext>
          </c:extLst>
        </c:ser>
        <c:ser>
          <c:idx val="1"/>
          <c:order val="1"/>
          <c:tx>
            <c:strRef>
              <c:f>'04_Backlog'!$D$13</c:f>
              <c:strCache>
                <c:ptCount val="1"/>
                <c:pt idx="0">
                  <c:v>Backlog PY (COP MM)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'04_Backlog'!$B$14:$B$25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'04_Backlog'!$D$14:$D$25</c:f>
              <c:numCache>
                <c:formatCode>#,##0</c:formatCode>
                <c:ptCount val="12"/>
                <c:pt idx="0">
                  <c:v>30422.1</c:v>
                </c:pt>
                <c:pt idx="1">
                  <c:v>31461.599999999999</c:v>
                </c:pt>
                <c:pt idx="2">
                  <c:v>36223.699999999997</c:v>
                </c:pt>
                <c:pt idx="3">
                  <c:v>34454.1</c:v>
                </c:pt>
                <c:pt idx="4">
                  <c:v>31842.799999999999</c:v>
                </c:pt>
                <c:pt idx="5">
                  <c:v>33251.199999999997</c:v>
                </c:pt>
                <c:pt idx="6">
                  <c:v>30680.1</c:v>
                </c:pt>
                <c:pt idx="7">
                  <c:v>34736.9</c:v>
                </c:pt>
                <c:pt idx="8">
                  <c:v>33247.5</c:v>
                </c:pt>
                <c:pt idx="9">
                  <c:v>35224.5</c:v>
                </c:pt>
                <c:pt idx="10">
                  <c:v>34456</c:v>
                </c:pt>
                <c:pt idx="11">
                  <c:v>35476.9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2C-49E2-A309-695CA3981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10694"/>
        <c:axId val="68423390"/>
      </c:barChart>
      <c:catAx>
        <c:axId val="2891069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68423390"/>
        <c:crosses val="autoZero"/>
        <c:auto val="1"/>
        <c:lblAlgn val="ctr"/>
        <c:lblOffset val="100"/>
        <c:noMultiLvlLbl val="0"/>
      </c:catAx>
      <c:valAx>
        <c:axId val="684233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289106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Backlog CY vs PY (COP 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'04_Backlog'!$C$13</c:f>
              <c:strCache>
                <c:ptCount val="1"/>
                <c:pt idx="0">
                  <c:v>Backlog CY (COP MM)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'04_Backlog'!$B$14:$B$25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'04_Backlog'!$C$14:$C$25</c:f>
              <c:numCache>
                <c:formatCode>#,##0</c:formatCode>
                <c:ptCount val="12"/>
                <c:pt idx="0">
                  <c:v>35566.1</c:v>
                </c:pt>
                <c:pt idx="1">
                  <c:v>36104.5</c:v>
                </c:pt>
                <c:pt idx="2">
                  <c:v>39420.9</c:v>
                </c:pt>
                <c:pt idx="3">
                  <c:v>38886.800000000003</c:v>
                </c:pt>
                <c:pt idx="4">
                  <c:v>55927.6</c:v>
                </c:pt>
                <c:pt idx="5">
                  <c:v>56477.9</c:v>
                </c:pt>
                <c:pt idx="6">
                  <c:v>57136.5</c:v>
                </c:pt>
                <c:pt idx="7">
                  <c:v>51456.1</c:v>
                </c:pt>
                <c:pt idx="8">
                  <c:v>50189</c:v>
                </c:pt>
                <c:pt idx="9">
                  <c:v>49836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BE-47C2-AB50-9A1B907D08F5}"/>
            </c:ext>
          </c:extLst>
        </c:ser>
        <c:ser>
          <c:idx val="1"/>
          <c:order val="1"/>
          <c:tx>
            <c:strRef>
              <c:f>'04_Backlog'!$D$13</c:f>
              <c:strCache>
                <c:ptCount val="1"/>
                <c:pt idx="0">
                  <c:v>Backlog PY (COP MM)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'04_Backlog'!$B$14:$B$25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'04_Backlog'!$D$14:$D$25</c:f>
              <c:numCache>
                <c:formatCode>#,##0</c:formatCode>
                <c:ptCount val="12"/>
                <c:pt idx="0">
                  <c:v>30422.1</c:v>
                </c:pt>
                <c:pt idx="1">
                  <c:v>31461.599999999999</c:v>
                </c:pt>
                <c:pt idx="2">
                  <c:v>36223.699999999997</c:v>
                </c:pt>
                <c:pt idx="3">
                  <c:v>34454.1</c:v>
                </c:pt>
                <c:pt idx="4">
                  <c:v>31842.799999999999</c:v>
                </c:pt>
                <c:pt idx="5">
                  <c:v>33251.199999999997</c:v>
                </c:pt>
                <c:pt idx="6">
                  <c:v>30680.1</c:v>
                </c:pt>
                <c:pt idx="7">
                  <c:v>34736.9</c:v>
                </c:pt>
                <c:pt idx="8">
                  <c:v>33247.5</c:v>
                </c:pt>
                <c:pt idx="9">
                  <c:v>35224.5</c:v>
                </c:pt>
                <c:pt idx="10">
                  <c:v>34456</c:v>
                </c:pt>
                <c:pt idx="11">
                  <c:v>35476.9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BE-47C2-AB50-9A1B907D0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230118"/>
        <c:axId val="59544696"/>
      </c:barChart>
      <c:catAx>
        <c:axId val="292301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59544696"/>
        <c:crosses val="autoZero"/>
        <c:auto val="1"/>
        <c:lblAlgn val="ctr"/>
        <c:lblOffset val="100"/>
        <c:noMultiLvlLbl val="0"/>
      </c:catAx>
      <c:valAx>
        <c:axId val="5954469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292301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CO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Backlog por canal (m²)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'05_Backlog_Canal'!$B$4</c:f>
              <c:strCache>
                <c:ptCount val="1"/>
                <c:pt idx="0">
                  <c:v>Backlog CM (m²) – RSM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'05_Backlog_Canal'!$A$5:$A$10</c:f>
              <c:strCache>
                <c:ptCount val="6"/>
                <c:pt idx="0">
                  <c:v>Industrial</c:v>
                </c:pt>
                <c:pt idx="1">
                  <c:v>Distribución</c:v>
                </c:pt>
                <c:pt idx="2">
                  <c:v>Otras Geografías</c:v>
                </c:pt>
                <c:pt idx="3">
                  <c:v>Cold Storage</c:v>
                </c:pt>
                <c:pt idx="4">
                  <c:v>Site Cali</c:v>
                </c:pt>
                <c:pt idx="5">
                  <c:v>Ventas Alternativas</c:v>
                </c:pt>
              </c:strCache>
            </c:strRef>
          </c:cat>
          <c:val>
            <c:numRef>
              <c:f>'05_Backlog_Canal'!$B$5:$B$10</c:f>
              <c:numCache>
                <c:formatCode>#,##0;\(#,##0\);\-</c:formatCode>
                <c:ptCount val="6"/>
                <c:pt idx="0">
                  <c:v>240448</c:v>
                </c:pt>
                <c:pt idx="1">
                  <c:v>62499</c:v>
                </c:pt>
                <c:pt idx="2">
                  <c:v>166377</c:v>
                </c:pt>
                <c:pt idx="3">
                  <c:v>28642</c:v>
                </c:pt>
                <c:pt idx="4">
                  <c:v>21774</c:v>
                </c:pt>
                <c:pt idx="5">
                  <c:v>5789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3D-4FE4-AC14-BCFDC4F7D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833809"/>
        <c:axId val="81167427"/>
      </c:barChart>
      <c:catAx>
        <c:axId val="3683380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81167427"/>
        <c:crosses val="autoZero"/>
        <c:auto val="1"/>
        <c:lblAlgn val="ctr"/>
        <c:lblOffset val="100"/>
        <c:noMultiLvlLbl val="0"/>
      </c:catAx>
      <c:valAx>
        <c:axId val="8116742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368338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Backlog por canal (m²)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'05_Backlog_Canal'!$B$4</c:f>
              <c:strCache>
                <c:ptCount val="1"/>
                <c:pt idx="0">
                  <c:v>Backlog CM (m²) – RSM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'05_Backlog_Canal'!$A$5:$A$10</c:f>
              <c:strCache>
                <c:ptCount val="6"/>
                <c:pt idx="0">
                  <c:v>Industrial</c:v>
                </c:pt>
                <c:pt idx="1">
                  <c:v>Distribución</c:v>
                </c:pt>
                <c:pt idx="2">
                  <c:v>Otras Geografías</c:v>
                </c:pt>
                <c:pt idx="3">
                  <c:v>Cold Storage</c:v>
                </c:pt>
                <c:pt idx="4">
                  <c:v>Site Cali</c:v>
                </c:pt>
                <c:pt idx="5">
                  <c:v>Ventas Alternativas</c:v>
                </c:pt>
              </c:strCache>
            </c:strRef>
          </c:cat>
          <c:val>
            <c:numRef>
              <c:f>'05_Backlog_Canal'!$B$5:$B$10</c:f>
              <c:numCache>
                <c:formatCode>#,##0;\(#,##0\);\-</c:formatCode>
                <c:ptCount val="6"/>
                <c:pt idx="0">
                  <c:v>240448</c:v>
                </c:pt>
                <c:pt idx="1">
                  <c:v>62499</c:v>
                </c:pt>
                <c:pt idx="2">
                  <c:v>166377</c:v>
                </c:pt>
                <c:pt idx="3">
                  <c:v>28642</c:v>
                </c:pt>
                <c:pt idx="4">
                  <c:v>21774</c:v>
                </c:pt>
                <c:pt idx="5">
                  <c:v>5789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B-452E-A6FA-0E1CCE77F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896410"/>
        <c:axId val="42037312"/>
      </c:barChart>
      <c:catAx>
        <c:axId val="898964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42037312"/>
        <c:crosses val="autoZero"/>
        <c:auto val="1"/>
        <c:lblAlgn val="ctr"/>
        <c:lblOffset val="100"/>
        <c:noMultiLvlLbl val="0"/>
      </c:catAx>
      <c:valAx>
        <c:axId val="42037312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898964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CO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OI 2026 – Real vs Forecast (m²)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'06_Perf_Forecast'!$I$6</c:f>
              <c:strCache>
                <c:ptCount val="1"/>
                <c:pt idx="0">
                  <c:v>Fuente gráfico: Real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'06_Perf_Forecast'!$B$7:$B$18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'06_Perf_Forecast'!$I$7:$I$18</c:f>
              <c:numCache>
                <c:formatCode>#,##0;\(#,##0\);\-</c:formatCode>
                <c:ptCount val="12"/>
                <c:pt idx="0">
                  <c:v>104582</c:v>
                </c:pt>
                <c:pt idx="1">
                  <c:v>127405</c:v>
                </c:pt>
                <c:pt idx="2">
                  <c:v>152049</c:v>
                </c:pt>
                <c:pt idx="3">
                  <c:v>126530</c:v>
                </c:pt>
                <c:pt idx="4">
                  <c:v>181126</c:v>
                </c:pt>
                <c:pt idx="5">
                  <c:v>124406</c:v>
                </c:pt>
                <c:pt idx="6">
                  <c:v>114336</c:v>
                </c:pt>
                <c:pt idx="7">
                  <c:v>151623</c:v>
                </c:pt>
                <c:pt idx="8">
                  <c:v>146446</c:v>
                </c:pt>
                <c:pt idx="9">
                  <c:v>160547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4B-4440-9651-63E9E06B843B}"/>
            </c:ext>
          </c:extLst>
        </c:ser>
        <c:ser>
          <c:idx val="1"/>
          <c:order val="1"/>
          <c:tx>
            <c:strRef>
              <c:f>'06_Perf_Forecast'!$J$6</c:f>
              <c:strCache>
                <c:ptCount val="1"/>
                <c:pt idx="0">
                  <c:v>Fuente gráfico: Forecast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'06_Perf_Forecast'!$B$7:$B$18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'06_Perf_Forecast'!$J$7:$J$18</c:f>
              <c:numCache>
                <c:formatCode>#,##0;\(#,##0\);\-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140000</c:v>
                </c:pt>
                <c:pt idx="11">
                  <c:v>122000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4B-4440-9651-63E9E06B8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20191"/>
        <c:axId val="33058423"/>
      </c:barChart>
      <c:catAx>
        <c:axId val="1622019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33058423"/>
        <c:crosses val="autoZero"/>
        <c:auto val="1"/>
        <c:lblAlgn val="ctr"/>
        <c:lblOffset val="100"/>
        <c:noMultiLvlLbl val="0"/>
      </c:catAx>
      <c:valAx>
        <c:axId val="330584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162201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OI 2026 – Real vs Forecast (m²)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'06_Perf_Forecast'!$I$6</c:f>
              <c:strCache>
                <c:ptCount val="1"/>
                <c:pt idx="0">
                  <c:v>Fuente gráfico: Real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'06_Perf_Forecast'!$B$7:$B$18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'06_Perf_Forecast'!$I$7:$I$18</c:f>
              <c:numCache>
                <c:formatCode>#,##0;\(#,##0\);\-</c:formatCode>
                <c:ptCount val="12"/>
                <c:pt idx="0">
                  <c:v>104582</c:v>
                </c:pt>
                <c:pt idx="1">
                  <c:v>127405</c:v>
                </c:pt>
                <c:pt idx="2">
                  <c:v>152049</c:v>
                </c:pt>
                <c:pt idx="3">
                  <c:v>126530</c:v>
                </c:pt>
                <c:pt idx="4">
                  <c:v>181126</c:v>
                </c:pt>
                <c:pt idx="5">
                  <c:v>124406</c:v>
                </c:pt>
                <c:pt idx="6">
                  <c:v>114336</c:v>
                </c:pt>
                <c:pt idx="7">
                  <c:v>151623</c:v>
                </c:pt>
                <c:pt idx="8">
                  <c:v>146446</c:v>
                </c:pt>
                <c:pt idx="9">
                  <c:v>160547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22-4815-AEF2-767031B95F96}"/>
            </c:ext>
          </c:extLst>
        </c:ser>
        <c:ser>
          <c:idx val="1"/>
          <c:order val="1"/>
          <c:tx>
            <c:strRef>
              <c:f>'06_Perf_Forecast'!$J$6</c:f>
              <c:strCache>
                <c:ptCount val="1"/>
                <c:pt idx="0">
                  <c:v>Fuente gráfico: Forecast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'06_Perf_Forecast'!$B$7:$B$18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'06_Perf_Forecast'!$J$7:$J$18</c:f>
              <c:numCache>
                <c:formatCode>#,##0;\(#,##0\);\-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140000</c:v>
                </c:pt>
                <c:pt idx="11">
                  <c:v>122000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22-4815-AEF2-767031B95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556155"/>
        <c:axId val="70779994"/>
      </c:barChart>
      <c:catAx>
        <c:axId val="695561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70779994"/>
        <c:crosses val="autoZero"/>
        <c:auto val="1"/>
        <c:lblAlgn val="ctr"/>
        <c:lblOffset val="100"/>
        <c:noMultiLvlLbl val="0"/>
      </c:catAx>
      <c:valAx>
        <c:axId val="7077999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695561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% Cumplimiento budget por canal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RSM_Resumen_Canales!$R$4</c:f>
              <c:strCache>
                <c:ptCount val="1"/>
                <c:pt idx="0">
                  <c:v>% Cumpl.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CO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RSM_Resumen_Canales!$Q$5:$Q$10</c:f>
              <c:strCache>
                <c:ptCount val="6"/>
                <c:pt idx="0">
                  <c:v>Alternative Sales</c:v>
                </c:pt>
                <c:pt idx="1">
                  <c:v>Site Cali</c:v>
                </c:pt>
                <c:pt idx="2">
                  <c:v>Cold Storage</c:v>
                </c:pt>
                <c:pt idx="3">
                  <c:v>Distribution</c:v>
                </c:pt>
                <c:pt idx="4">
                  <c:v>Other Geographies</c:v>
                </c:pt>
                <c:pt idx="5">
                  <c:v>Industrial</c:v>
                </c:pt>
              </c:strCache>
            </c:strRef>
          </c:cat>
          <c:val>
            <c:numRef>
              <c:f>RSM_Resumen_Canales!$R$5:$R$10</c:f>
              <c:numCache>
                <c:formatCode>0%</c:formatCode>
                <c:ptCount val="6"/>
                <c:pt idx="0">
                  <c:v>1.530373831775701</c:v>
                </c:pt>
                <c:pt idx="1">
                  <c:v>0.95746303474016647</c:v>
                </c:pt>
                <c:pt idx="2">
                  <c:v>0.91910000000000003</c:v>
                </c:pt>
                <c:pt idx="3">
                  <c:v>0.91345705042571346</c:v>
                </c:pt>
                <c:pt idx="4">
                  <c:v>0.78862599294535352</c:v>
                </c:pt>
                <c:pt idx="5">
                  <c:v>0.76500690608707156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04-4D83-9690-D98B904CA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768161"/>
        <c:axId val="29811400"/>
      </c:barChart>
      <c:catAx>
        <c:axId val="4876816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29811400"/>
        <c:crosses val="autoZero"/>
        <c:auto val="1"/>
        <c:lblAlgn val="ctr"/>
        <c:lblOffset val="100"/>
        <c:noMultiLvlLbl val="0"/>
      </c:catAx>
      <c:valAx>
        <c:axId val="29811400"/>
        <c:scaling>
          <c:orientation val="minMax"/>
        </c:scaling>
        <c:delete val="0"/>
        <c:axPos val="t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487681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Sales vs Budget (k m²) y margen de backlog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RSM_Resumen_Canales!$B$29</c:f>
              <c:strCache>
                <c:ptCount val="1"/>
                <c:pt idx="0">
                  <c:v>Ventas YTD (k m²)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RSM_Resumen_Canales!$A$30:$A$35</c:f>
              <c:strCache>
                <c:ptCount val="6"/>
                <c:pt idx="0">
                  <c:v>Industrial</c:v>
                </c:pt>
                <c:pt idx="1">
                  <c:v>Distribution</c:v>
                </c:pt>
                <c:pt idx="2">
                  <c:v>Other Geographies</c:v>
                </c:pt>
                <c:pt idx="3">
                  <c:v>Cold Storage</c:v>
                </c:pt>
                <c:pt idx="4">
                  <c:v>Site Cali</c:v>
                </c:pt>
                <c:pt idx="5">
                  <c:v>Alternative Sales</c:v>
                </c:pt>
              </c:strCache>
            </c:strRef>
          </c:cat>
          <c:val>
            <c:numRef>
              <c:f>RSM_Resumen_Canales!$B$30:$B$35</c:f>
              <c:numCache>
                <c:formatCode>#,##0.0</c:formatCode>
                <c:ptCount val="6"/>
                <c:pt idx="0">
                  <c:v>339.58800000000002</c:v>
                </c:pt>
                <c:pt idx="1">
                  <c:v>227.01599999999999</c:v>
                </c:pt>
                <c:pt idx="2">
                  <c:v>306.07600000000002</c:v>
                </c:pt>
                <c:pt idx="3">
                  <c:v>9.1910000000000007</c:v>
                </c:pt>
                <c:pt idx="4">
                  <c:v>106.715</c:v>
                </c:pt>
                <c:pt idx="5">
                  <c:v>69.430000000000007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8-4593-B1C9-52E8DD63ABD5}"/>
            </c:ext>
          </c:extLst>
        </c:ser>
        <c:ser>
          <c:idx val="1"/>
          <c:order val="1"/>
          <c:tx>
            <c:strRef>
              <c:f>RSM_Resumen_Canales!$C$29</c:f>
              <c:strCache>
                <c:ptCount val="1"/>
                <c:pt idx="0">
                  <c:v>Budget YTD (k m²)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RSM_Resumen_Canales!$A$30:$A$35</c:f>
              <c:strCache>
                <c:ptCount val="6"/>
                <c:pt idx="0">
                  <c:v>Industrial</c:v>
                </c:pt>
                <c:pt idx="1">
                  <c:v>Distribution</c:v>
                </c:pt>
                <c:pt idx="2">
                  <c:v>Other Geographies</c:v>
                </c:pt>
                <c:pt idx="3">
                  <c:v>Cold Storage</c:v>
                </c:pt>
                <c:pt idx="4">
                  <c:v>Site Cali</c:v>
                </c:pt>
                <c:pt idx="5">
                  <c:v>Alternative Sales</c:v>
                </c:pt>
              </c:strCache>
            </c:strRef>
          </c:cat>
          <c:val>
            <c:numRef>
              <c:f>RSM_Resumen_Canales!$C$30:$C$35</c:f>
              <c:numCache>
                <c:formatCode>#,##0.0</c:formatCode>
                <c:ptCount val="6"/>
                <c:pt idx="0">
                  <c:v>443.90187500000002</c:v>
                </c:pt>
                <c:pt idx="1">
                  <c:v>248.524</c:v>
                </c:pt>
                <c:pt idx="2">
                  <c:v>388.113</c:v>
                </c:pt>
                <c:pt idx="3">
                  <c:v>10</c:v>
                </c:pt>
                <c:pt idx="4">
                  <c:v>111.456</c:v>
                </c:pt>
                <c:pt idx="5">
                  <c:v>45.368000000000002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78-4593-B1C9-52E8DD63A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2875"/>
        <c:axId val="40399631"/>
      </c:barChart>
      <c:lineChart>
        <c:grouping val="standard"/>
        <c:varyColors val="0"/>
        <c:ser>
          <c:idx val="2"/>
          <c:order val="2"/>
          <c:tx>
            <c:strRef>
              <c:f>RSM_Resumen_Canales!$D$29</c:f>
              <c:strCache>
                <c:ptCount val="1"/>
                <c:pt idx="0">
                  <c:v>Margen Sep-25 (PY)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RSM_Resumen_Canales!$A$30:$A$35</c:f>
              <c:strCache>
                <c:ptCount val="6"/>
                <c:pt idx="0">
                  <c:v>Industrial</c:v>
                </c:pt>
                <c:pt idx="1">
                  <c:v>Distribution</c:v>
                </c:pt>
                <c:pt idx="2">
                  <c:v>Other Geographies</c:v>
                </c:pt>
                <c:pt idx="3">
                  <c:v>Cold Storage</c:v>
                </c:pt>
                <c:pt idx="4">
                  <c:v>Site Cali</c:v>
                </c:pt>
                <c:pt idx="5">
                  <c:v>Alternative Sales</c:v>
                </c:pt>
              </c:strCache>
            </c:strRef>
          </c:cat>
          <c:val>
            <c:numRef>
              <c:f>RSM_Resumen_Canales!$D$30:$D$35</c:f>
              <c:numCache>
                <c:formatCode>0.0%</c:formatCode>
                <c:ptCount val="6"/>
                <c:pt idx="0">
                  <c:v>0.28692082751703302</c:v>
                </c:pt>
                <c:pt idx="1">
                  <c:v>0.270100403669289</c:v>
                </c:pt>
                <c:pt idx="2">
                  <c:v>0.104274012878321</c:v>
                </c:pt>
                <c:pt idx="3">
                  <c:v>0.386802424242424</c:v>
                </c:pt>
                <c:pt idx="4">
                  <c:v>0</c:v>
                </c:pt>
                <c:pt idx="5">
                  <c:v>0.36956933853474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678-4593-B1C9-52E8DD63ABD5}"/>
            </c:ext>
          </c:extLst>
        </c:ser>
        <c:ser>
          <c:idx val="3"/>
          <c:order val="3"/>
          <c:tx>
            <c:strRef>
              <c:f>RSM_Resumen_Canales!$E$29</c:f>
              <c:strCache>
                <c:ptCount val="1"/>
                <c:pt idx="0">
                  <c:v>Margen Sep-26 (CM)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RSM_Resumen_Canales!$A$30:$A$35</c:f>
              <c:strCache>
                <c:ptCount val="6"/>
                <c:pt idx="0">
                  <c:v>Industrial</c:v>
                </c:pt>
                <c:pt idx="1">
                  <c:v>Distribution</c:v>
                </c:pt>
                <c:pt idx="2">
                  <c:v>Other Geographies</c:v>
                </c:pt>
                <c:pt idx="3">
                  <c:v>Cold Storage</c:v>
                </c:pt>
                <c:pt idx="4">
                  <c:v>Site Cali</c:v>
                </c:pt>
                <c:pt idx="5">
                  <c:v>Alternative Sales</c:v>
                </c:pt>
              </c:strCache>
            </c:strRef>
          </c:cat>
          <c:val>
            <c:numRef>
              <c:f>RSM_Resumen_Canales!$E$30:$E$35</c:f>
              <c:numCache>
                <c:formatCode>0.0%</c:formatCode>
                <c:ptCount val="6"/>
                <c:pt idx="0">
                  <c:v>0.33117135762133998</c:v>
                </c:pt>
                <c:pt idx="1">
                  <c:v>0.29966955928374001</c:v>
                </c:pt>
                <c:pt idx="2">
                  <c:v>0.14624363476804</c:v>
                </c:pt>
                <c:pt idx="3">
                  <c:v>0.28058377005396101</c:v>
                </c:pt>
                <c:pt idx="4">
                  <c:v>0.36773598338822699</c:v>
                </c:pt>
                <c:pt idx="5">
                  <c:v>0.452758855596467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678-4593-B1C9-52E8DD63A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181783"/>
        <c:axId val="71967627"/>
      </c:lineChart>
      <c:catAx>
        <c:axId val="20528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40399631"/>
        <c:crosses val="autoZero"/>
        <c:auto val="1"/>
        <c:lblAlgn val="ctr"/>
        <c:lblOffset val="100"/>
        <c:noMultiLvlLbl val="0"/>
      </c:catAx>
      <c:valAx>
        <c:axId val="4039963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2052875"/>
        <c:crosses val="autoZero"/>
        <c:crossBetween val="between"/>
      </c:valAx>
      <c:catAx>
        <c:axId val="5181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71967627"/>
        <c:crosses val="autoZero"/>
        <c:auto val="1"/>
        <c:lblAlgn val="ctr"/>
        <c:lblOffset val="100"/>
        <c:noMultiLvlLbl val="0"/>
      </c:catAx>
      <c:valAx>
        <c:axId val="71967627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5181783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CO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% Cumplimiento budget – Industrial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'09_RSM_Industrial'!$N$4</c:f>
              <c:strCache>
                <c:ptCount val="1"/>
                <c:pt idx="0">
                  <c:v>% Cumpl.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CO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'09_RSM_Industrial'!$M$5:$M$13</c:f>
              <c:strCache>
                <c:ptCount val="7"/>
                <c:pt idx="0">
                  <c:v>Ana I. Arias</c:v>
                </c:pt>
                <c:pt idx="1">
                  <c:v>Julio C. Guerrero</c:v>
                </c:pt>
                <c:pt idx="2">
                  <c:v>Diego A. Calderón</c:v>
                </c:pt>
                <c:pt idx="3">
                  <c:v>Ejec. Zona Norte</c:v>
                </c:pt>
                <c:pt idx="4">
                  <c:v>Yolanda Candela</c:v>
                </c:pt>
                <c:pt idx="5">
                  <c:v>León A. Naranjo</c:v>
                </c:pt>
                <c:pt idx="6">
                  <c:v>Ejec. Zona Bogotá</c:v>
                </c:pt>
              </c:strCache>
            </c:strRef>
          </c:cat>
          <c:val>
            <c:numRef>
              <c:f>'09_RSM_Industrial'!$N$5:$N$13</c:f>
              <c:numCache>
                <c:formatCode>0%</c:formatCode>
                <c:ptCount val="9"/>
                <c:pt idx="0">
                  <c:v>1.6872781100694403</c:v>
                </c:pt>
                <c:pt idx="1">
                  <c:v>1.4024235039263471</c:v>
                </c:pt>
                <c:pt idx="2">
                  <c:v>0.82003046028880866</c:v>
                </c:pt>
                <c:pt idx="3">
                  <c:v>0.55072123658437377</c:v>
                </c:pt>
                <c:pt idx="4">
                  <c:v>0.47884447038225852</c:v>
                </c:pt>
                <c:pt idx="5">
                  <c:v>3.2811334824757642E-2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4-49F8-A21E-4ECA31438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37834"/>
        <c:axId val="68425007"/>
      </c:barChart>
      <c:catAx>
        <c:axId val="19737834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68425007"/>
        <c:crosses val="autoZero"/>
        <c:auto val="1"/>
        <c:lblAlgn val="ctr"/>
        <c:lblOffset val="100"/>
        <c:noMultiLvlLbl val="0"/>
      </c:catAx>
      <c:valAx>
        <c:axId val="68425007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197378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% Cumplimiento budget por RSM (detalle interno)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'09_RSM_Industrial'!$N$4</c:f>
              <c:strCache>
                <c:ptCount val="1"/>
                <c:pt idx="0">
                  <c:v>% Cumpl.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'09_RSM_Industrial'!$M$5:$M$13</c:f>
              <c:strCache>
                <c:ptCount val="7"/>
                <c:pt idx="0">
                  <c:v>Ana I. Arias</c:v>
                </c:pt>
                <c:pt idx="1">
                  <c:v>Julio C. Guerrero</c:v>
                </c:pt>
                <c:pt idx="2">
                  <c:v>Diego A. Calderón</c:v>
                </c:pt>
                <c:pt idx="3">
                  <c:v>Ejec. Zona Norte</c:v>
                </c:pt>
                <c:pt idx="4">
                  <c:v>Yolanda Candela</c:v>
                </c:pt>
                <c:pt idx="5">
                  <c:v>León A. Naranjo</c:v>
                </c:pt>
                <c:pt idx="6">
                  <c:v>Ejec. Zona Bogotá</c:v>
                </c:pt>
              </c:strCache>
            </c:strRef>
          </c:cat>
          <c:val>
            <c:numRef>
              <c:f>'09_RSM_Industrial'!$N$5:$N$13</c:f>
              <c:numCache>
                <c:formatCode>0%</c:formatCode>
                <c:ptCount val="9"/>
                <c:pt idx="0">
                  <c:v>1.6872781100694403</c:v>
                </c:pt>
                <c:pt idx="1">
                  <c:v>1.4024235039263471</c:v>
                </c:pt>
                <c:pt idx="2">
                  <c:v>0.82003046028880866</c:v>
                </c:pt>
                <c:pt idx="3">
                  <c:v>0.55072123658437377</c:v>
                </c:pt>
                <c:pt idx="4">
                  <c:v>0.47884447038225852</c:v>
                </c:pt>
                <c:pt idx="5">
                  <c:v>3.2811334824757642E-2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79-4C96-8B9D-8C41B6243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161530"/>
        <c:axId val="81790884"/>
      </c:barChart>
      <c:catAx>
        <c:axId val="3916153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81790884"/>
        <c:crosses val="autoZero"/>
        <c:auto val="1"/>
        <c:lblAlgn val="ctr"/>
        <c:lblOffset val="100"/>
        <c:noMultiLvlLbl val="0"/>
      </c:catAx>
      <c:valAx>
        <c:axId val="81790884"/>
        <c:scaling>
          <c:orientation val="minMax"/>
        </c:scaling>
        <c:delete val="0"/>
        <c:axPos val="t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391615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CO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% Cumplimiento budget – Distribución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'10_RSM_Distribucion'!$N$4</c:f>
              <c:strCache>
                <c:ptCount val="1"/>
                <c:pt idx="0">
                  <c:v>% Cumpl.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CO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'10_RSM_Distribucion'!$M$5:$M$14</c:f>
              <c:strCache>
                <c:ptCount val="10"/>
                <c:pt idx="0">
                  <c:v>Ejec. Eje Cafetero</c:v>
                </c:pt>
                <c:pt idx="1">
                  <c:v>Ejec. Ventas Sur</c:v>
                </c:pt>
                <c:pt idx="2">
                  <c:v>Yolanda Candela</c:v>
                </c:pt>
                <c:pt idx="3">
                  <c:v>Mónica A. García</c:v>
                </c:pt>
                <c:pt idx="4">
                  <c:v>Eidy J. Pérez</c:v>
                </c:pt>
                <c:pt idx="5">
                  <c:v>Edwar A. Salazar</c:v>
                </c:pt>
                <c:pt idx="6">
                  <c:v>Henry A. Acosta</c:v>
                </c:pt>
                <c:pt idx="7">
                  <c:v>Erwin A. Ríos</c:v>
                </c:pt>
                <c:pt idx="8">
                  <c:v>Ronald Valenzuela</c:v>
                </c:pt>
                <c:pt idx="9">
                  <c:v>Ronald E. Méndez</c:v>
                </c:pt>
              </c:strCache>
            </c:strRef>
          </c:cat>
          <c:val>
            <c:numRef>
              <c:f>'10_RSM_Distribucion'!$N$5:$N$14</c:f>
              <c:numCache>
                <c:formatCode>0%</c:formatCode>
                <c:ptCount val="10"/>
                <c:pt idx="0">
                  <c:v>1.9834254143646408</c:v>
                </c:pt>
                <c:pt idx="1">
                  <c:v>1.9247905899126716</c:v>
                </c:pt>
                <c:pt idx="2">
                  <c:v>1.7858771969053262</c:v>
                </c:pt>
                <c:pt idx="3">
                  <c:v>1.6968333333333334</c:v>
                </c:pt>
                <c:pt idx="4">
                  <c:v>1.1311410738689998</c:v>
                </c:pt>
                <c:pt idx="5">
                  <c:v>0.68269767441860463</c:v>
                </c:pt>
                <c:pt idx="6">
                  <c:v>0.58684028975508795</c:v>
                </c:pt>
                <c:pt idx="7">
                  <c:v>0.46140048292514663</c:v>
                </c:pt>
                <c:pt idx="8">
                  <c:v>0.44764960028975759</c:v>
                </c:pt>
                <c:pt idx="9">
                  <c:v>0.4162729658792651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F-4309-B881-899A8F0EE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438504"/>
        <c:axId val="58261900"/>
      </c:barChart>
      <c:catAx>
        <c:axId val="78438504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58261900"/>
        <c:crosses val="autoZero"/>
        <c:auto val="1"/>
        <c:lblAlgn val="ctr"/>
        <c:lblOffset val="100"/>
        <c:noMultiLvlLbl val="0"/>
      </c:catAx>
      <c:valAx>
        <c:axId val="58261900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784385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% Cumplimiento budget por RSM (detalle interno)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'10_RSM_Distribucion'!$N$4</c:f>
              <c:strCache>
                <c:ptCount val="1"/>
                <c:pt idx="0">
                  <c:v>% Cumpl.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'10_RSM_Distribucion'!$M$5:$M$14</c:f>
              <c:strCache>
                <c:ptCount val="10"/>
                <c:pt idx="0">
                  <c:v>Ejec. Eje Cafetero</c:v>
                </c:pt>
                <c:pt idx="1">
                  <c:v>Ejec. Ventas Sur</c:v>
                </c:pt>
                <c:pt idx="2">
                  <c:v>Yolanda Candela</c:v>
                </c:pt>
                <c:pt idx="3">
                  <c:v>Mónica A. García</c:v>
                </c:pt>
                <c:pt idx="4">
                  <c:v>Eidy J. Pérez</c:v>
                </c:pt>
                <c:pt idx="5">
                  <c:v>Edwar A. Salazar</c:v>
                </c:pt>
                <c:pt idx="6">
                  <c:v>Henry A. Acosta</c:v>
                </c:pt>
                <c:pt idx="7">
                  <c:v>Erwin A. Ríos</c:v>
                </c:pt>
                <c:pt idx="8">
                  <c:v>Ronald Valenzuela</c:v>
                </c:pt>
                <c:pt idx="9">
                  <c:v>Ronald E. Méndez</c:v>
                </c:pt>
              </c:strCache>
            </c:strRef>
          </c:cat>
          <c:val>
            <c:numRef>
              <c:f>'10_RSM_Distribucion'!$N$5:$N$14</c:f>
              <c:numCache>
                <c:formatCode>0%</c:formatCode>
                <c:ptCount val="10"/>
                <c:pt idx="0">
                  <c:v>1.9834254143646408</c:v>
                </c:pt>
                <c:pt idx="1">
                  <c:v>1.9247905899126716</c:v>
                </c:pt>
                <c:pt idx="2">
                  <c:v>1.7858771969053262</c:v>
                </c:pt>
                <c:pt idx="3">
                  <c:v>1.6968333333333334</c:v>
                </c:pt>
                <c:pt idx="4">
                  <c:v>1.1311410738689998</c:v>
                </c:pt>
                <c:pt idx="5">
                  <c:v>0.68269767441860463</c:v>
                </c:pt>
                <c:pt idx="6">
                  <c:v>0.58684028975508795</c:v>
                </c:pt>
                <c:pt idx="7">
                  <c:v>0.46140048292514663</c:v>
                </c:pt>
                <c:pt idx="8">
                  <c:v>0.44764960028975759</c:v>
                </c:pt>
                <c:pt idx="9">
                  <c:v>0.4162729658792651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C7-49CE-8932-453F5C795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810218"/>
        <c:axId val="23551100"/>
      </c:barChart>
      <c:catAx>
        <c:axId val="2481021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23551100"/>
        <c:crosses val="autoZero"/>
        <c:auto val="1"/>
        <c:lblAlgn val="ctr"/>
        <c:lblOffset val="100"/>
        <c:noMultiLvlLbl val="0"/>
      </c:catAx>
      <c:valAx>
        <c:axId val="23551100"/>
        <c:scaling>
          <c:orientation val="minMax"/>
        </c:scaling>
        <c:delete val="0"/>
        <c:axPos val="t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248102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CO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% Cumplimiento budget – Otras Geografías (Exportación)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'11_RSM_Otras_Geo'!$N$4</c:f>
              <c:strCache>
                <c:ptCount val="1"/>
                <c:pt idx="0">
                  <c:v>% Cumpl.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CO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'11_RSM_Otras_Geo'!$M$5:$M$12</c:f>
              <c:strCache>
                <c:ptCount val="8"/>
                <c:pt idx="0">
                  <c:v>Laura M. Torres</c:v>
                </c:pt>
                <c:pt idx="1">
                  <c:v>María Y. Calderón</c:v>
                </c:pt>
                <c:pt idx="2">
                  <c:v>Carlos A. Rodríguez</c:v>
                </c:pt>
                <c:pt idx="3">
                  <c:v>Erick Hinostroza</c:v>
                </c:pt>
                <c:pt idx="4">
                  <c:v>Mayra A. Navas</c:v>
                </c:pt>
                <c:pt idx="5">
                  <c:v>KAM  - Costa Rica </c:v>
                </c:pt>
                <c:pt idx="6">
                  <c:v>KAM 2 - Ecuador </c:v>
                </c:pt>
                <c:pt idx="7">
                  <c:v>Angie P. Fernandini</c:v>
                </c:pt>
              </c:strCache>
            </c:strRef>
          </c:cat>
          <c:val>
            <c:numRef>
              <c:f>'11_RSM_Otras_Geo'!$N$5:$N$12</c:f>
              <c:numCache>
                <c:formatCode>0%</c:formatCode>
                <c:ptCount val="8"/>
                <c:pt idx="0">
                  <c:v>1.3896955646391311</c:v>
                </c:pt>
                <c:pt idx="1">
                  <c:v>1.3598332818771226</c:v>
                </c:pt>
                <c:pt idx="2">
                  <c:v>1.0145873941201304</c:v>
                </c:pt>
                <c:pt idx="3">
                  <c:v>1.0078346673442595</c:v>
                </c:pt>
                <c:pt idx="4">
                  <c:v>0.62350837316575858</c:v>
                </c:pt>
                <c:pt idx="5">
                  <c:v>0.16068394451016238</c:v>
                </c:pt>
                <c:pt idx="6">
                  <c:v>0.11707105140030746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8-4228-B1F5-7C0B70216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872569"/>
        <c:axId val="88536424"/>
      </c:barChart>
      <c:catAx>
        <c:axId val="64872569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88536424"/>
        <c:crosses val="autoZero"/>
        <c:auto val="1"/>
        <c:lblAlgn val="ctr"/>
        <c:lblOffset val="100"/>
        <c:noMultiLvlLbl val="0"/>
      </c:catAx>
      <c:valAx>
        <c:axId val="88536424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648725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% Cumplimiento budget por RSM (detalle interno)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'11_RSM_Otras_Geo'!$N$4</c:f>
              <c:strCache>
                <c:ptCount val="1"/>
                <c:pt idx="0">
                  <c:v>% Cumpl.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'11_RSM_Otras_Geo'!$M$5:$M$12</c:f>
              <c:strCache>
                <c:ptCount val="8"/>
                <c:pt idx="0">
                  <c:v>Laura M. Torres</c:v>
                </c:pt>
                <c:pt idx="1">
                  <c:v>María Y. Calderón</c:v>
                </c:pt>
                <c:pt idx="2">
                  <c:v>Carlos A. Rodríguez</c:v>
                </c:pt>
                <c:pt idx="3">
                  <c:v>Erick Hinostroza</c:v>
                </c:pt>
                <c:pt idx="4">
                  <c:v>Mayra A. Navas</c:v>
                </c:pt>
                <c:pt idx="5">
                  <c:v>KAM  - Costa Rica </c:v>
                </c:pt>
                <c:pt idx="6">
                  <c:v>KAM 2 - Ecuador </c:v>
                </c:pt>
                <c:pt idx="7">
                  <c:v>Angie P. Fernandini</c:v>
                </c:pt>
              </c:strCache>
            </c:strRef>
          </c:cat>
          <c:val>
            <c:numRef>
              <c:f>'11_RSM_Otras_Geo'!$N$5:$N$12</c:f>
              <c:numCache>
                <c:formatCode>0%</c:formatCode>
                <c:ptCount val="8"/>
                <c:pt idx="0">
                  <c:v>1.3896955646391311</c:v>
                </c:pt>
                <c:pt idx="1">
                  <c:v>1.3598332818771226</c:v>
                </c:pt>
                <c:pt idx="2">
                  <c:v>1.0145873941201304</c:v>
                </c:pt>
                <c:pt idx="3">
                  <c:v>1.0078346673442595</c:v>
                </c:pt>
                <c:pt idx="4">
                  <c:v>0.62350837316575858</c:v>
                </c:pt>
                <c:pt idx="5">
                  <c:v>0.16068394451016238</c:v>
                </c:pt>
                <c:pt idx="6">
                  <c:v>0.11707105140030746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01-4DEC-90A4-F72320D2A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569835"/>
        <c:axId val="14696350"/>
      </c:barChart>
      <c:catAx>
        <c:axId val="7756983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14696350"/>
        <c:crosses val="autoZero"/>
        <c:auto val="1"/>
        <c:lblAlgn val="ctr"/>
        <c:lblOffset val="100"/>
        <c:noMultiLvlLbl val="0"/>
      </c:catAx>
      <c:valAx>
        <c:axId val="14696350"/>
        <c:scaling>
          <c:orientation val="minMax"/>
        </c:scaling>
        <c:delete val="0"/>
        <c:axPos val="t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775698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CO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% Cumplimiento budget – Refrigeración (Cold Storage)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'12_RSM_Cold_Storage'!$N$4</c:f>
              <c:strCache>
                <c:ptCount val="1"/>
                <c:pt idx="0">
                  <c:v>% Cumpl.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CO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'12_RSM_Cold_Storage'!$M$5:$M$7</c:f>
              <c:strCache>
                <c:ptCount val="3"/>
                <c:pt idx="0">
                  <c:v>Sandra M. Uribe</c:v>
                </c:pt>
                <c:pt idx="1">
                  <c:v>Laura M. Rodríguez</c:v>
                </c:pt>
                <c:pt idx="2">
                  <c:v>Juan C. Menéndez</c:v>
                </c:pt>
              </c:strCache>
            </c:strRef>
          </c:cat>
          <c:val>
            <c:numRef>
              <c:f>'12_RSM_Cold_Storage'!$N$5:$N$7</c:f>
              <c:numCache>
                <c:formatCode>0%</c:formatCode>
                <c:ptCount val="3"/>
                <c:pt idx="0">
                  <c:v>1.5551999999999999</c:v>
                </c:pt>
                <c:pt idx="1">
                  <c:v>1.1784444444444444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42-46AA-A073-7025C375F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642922"/>
        <c:axId val="20489068"/>
      </c:barChart>
      <c:catAx>
        <c:axId val="93642922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20489068"/>
        <c:crosses val="autoZero"/>
        <c:auto val="1"/>
        <c:lblAlgn val="ctr"/>
        <c:lblOffset val="100"/>
        <c:noMultiLvlLbl val="0"/>
      </c:catAx>
      <c:valAx>
        <c:axId val="20489068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936429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% Cumplimiento budget por RSM (detalle interno)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'12_RSM_Cold_Storage'!$N$4</c:f>
              <c:strCache>
                <c:ptCount val="1"/>
                <c:pt idx="0">
                  <c:v>% Cumpl.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'12_RSM_Cold_Storage'!$M$5:$M$7</c:f>
              <c:strCache>
                <c:ptCount val="3"/>
                <c:pt idx="0">
                  <c:v>Sandra M. Uribe</c:v>
                </c:pt>
                <c:pt idx="1">
                  <c:v>Laura M. Rodríguez</c:v>
                </c:pt>
                <c:pt idx="2">
                  <c:v>Juan C. Menéndez</c:v>
                </c:pt>
              </c:strCache>
            </c:strRef>
          </c:cat>
          <c:val>
            <c:numRef>
              <c:f>'12_RSM_Cold_Storage'!$N$5:$N$7</c:f>
              <c:numCache>
                <c:formatCode>0%</c:formatCode>
                <c:ptCount val="3"/>
                <c:pt idx="0">
                  <c:v>1.5551999999999999</c:v>
                </c:pt>
                <c:pt idx="1">
                  <c:v>1.1784444444444444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C4-457C-833E-5E45D6A9D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394722"/>
        <c:axId val="52623620"/>
      </c:barChart>
      <c:catAx>
        <c:axId val="2639472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52623620"/>
        <c:crosses val="autoZero"/>
        <c:auto val="1"/>
        <c:lblAlgn val="ctr"/>
        <c:lblOffset val="100"/>
        <c:noMultiLvlLbl val="0"/>
      </c:catAx>
      <c:valAx>
        <c:axId val="52623620"/>
        <c:scaling>
          <c:orientation val="minMax"/>
        </c:scaling>
        <c:delete val="0"/>
        <c:axPos val="t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263947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CO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% Cumplimiento budget – Site Cali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'13_RSM_Site_Cali'!$N$4</c:f>
              <c:strCache>
                <c:ptCount val="1"/>
                <c:pt idx="0">
                  <c:v>% Cumpl.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CO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'13_RSM_Site_Cali'!$M$5:$M$7</c:f>
              <c:strCache>
                <c:ptCount val="2"/>
                <c:pt idx="0">
                  <c:v>Yazmín Altamirano</c:v>
                </c:pt>
                <c:pt idx="1">
                  <c:v>Diego A. Calderón</c:v>
                </c:pt>
              </c:strCache>
            </c:strRef>
          </c:cat>
          <c:val>
            <c:numRef>
              <c:f>'13_RSM_Site_Cali'!$N$5:$N$7</c:f>
              <c:numCache>
                <c:formatCode>0%</c:formatCode>
                <c:ptCount val="3"/>
                <c:pt idx="0">
                  <c:v>1.803128071449938</c:v>
                </c:pt>
                <c:pt idx="1">
                  <c:v>0.73272386576571458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66-4414-BFA2-F9148921A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583103"/>
        <c:axId val="66550689"/>
      </c:barChart>
      <c:catAx>
        <c:axId val="22583103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66550689"/>
        <c:crosses val="autoZero"/>
        <c:auto val="1"/>
        <c:lblAlgn val="ctr"/>
        <c:lblOffset val="100"/>
        <c:noMultiLvlLbl val="0"/>
      </c:catAx>
      <c:valAx>
        <c:axId val="66550689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225831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% Cumplimiento budget por RSM (detalle interno)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'13_RSM_Site_Cali'!$N$4</c:f>
              <c:strCache>
                <c:ptCount val="1"/>
                <c:pt idx="0">
                  <c:v>% Cumpl.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'13_RSM_Site_Cali'!$M$5:$M$6</c:f>
              <c:strCache>
                <c:ptCount val="2"/>
                <c:pt idx="0">
                  <c:v>Yazmín Altamirano</c:v>
                </c:pt>
                <c:pt idx="1">
                  <c:v>Diego A. Calderón</c:v>
                </c:pt>
              </c:strCache>
            </c:strRef>
          </c:cat>
          <c:val>
            <c:numRef>
              <c:f>'13_RSM_Site_Cali'!$N$5:$N$6</c:f>
              <c:numCache>
                <c:formatCode>0%</c:formatCode>
                <c:ptCount val="2"/>
                <c:pt idx="0">
                  <c:v>1.803128071449938</c:v>
                </c:pt>
                <c:pt idx="1">
                  <c:v>0.73272386576571458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01-43F1-80BF-335D7E39C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083412"/>
        <c:axId val="30470632"/>
      </c:barChart>
      <c:catAx>
        <c:axId val="350834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30470632"/>
        <c:crosses val="autoZero"/>
        <c:auto val="1"/>
        <c:lblAlgn val="ctr"/>
        <c:lblOffset val="100"/>
        <c:noMultiLvlLbl val="0"/>
      </c:catAx>
      <c:valAx>
        <c:axId val="30470632"/>
        <c:scaling>
          <c:orientation val="minMax"/>
        </c:scaling>
        <c:delete val="0"/>
        <c:axPos val="t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350834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CO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% Cumplimiento budget – Ventas Alternativas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'14_RSM_Vtas_Alt'!$N$4</c:f>
              <c:strCache>
                <c:ptCount val="1"/>
                <c:pt idx="0">
                  <c:v>% Cumpl.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CO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'14_RSM_Vtas_Alt'!$M$5:$M$6</c:f>
              <c:strCache>
                <c:ptCount val="2"/>
                <c:pt idx="0">
                  <c:v>Yazmín Altamirano</c:v>
                </c:pt>
                <c:pt idx="1">
                  <c:v>Jairo A. Quintana</c:v>
                </c:pt>
              </c:strCache>
            </c:strRef>
          </c:cat>
          <c:val>
            <c:numRef>
              <c:f>'14_RSM_Vtas_Alt'!$N$5:$N$6</c:f>
              <c:numCache>
                <c:formatCode>0%</c:formatCode>
                <c:ptCount val="2"/>
                <c:pt idx="0">
                  <c:v>1.5670840787119857</c:v>
                </c:pt>
                <c:pt idx="1">
                  <c:v>1.5294463276836159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D4-473C-8B27-D70BC0AF5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102654"/>
        <c:axId val="7029675"/>
      </c:barChart>
      <c:catAx>
        <c:axId val="33102654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7029675"/>
        <c:crosses val="autoZero"/>
        <c:auto val="1"/>
        <c:lblAlgn val="ctr"/>
        <c:lblOffset val="100"/>
        <c:noMultiLvlLbl val="0"/>
      </c:catAx>
      <c:valAx>
        <c:axId val="7029675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331026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% Cumplimiento budget por RSM (detalle interno)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'14_RSM_Vtas_Alt'!$N$4</c:f>
              <c:strCache>
                <c:ptCount val="1"/>
                <c:pt idx="0">
                  <c:v>% Cumpl.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'14_RSM_Vtas_Alt'!$M$5:$M$6</c:f>
              <c:strCache>
                <c:ptCount val="2"/>
                <c:pt idx="0">
                  <c:v>Yazmín Altamirano</c:v>
                </c:pt>
                <c:pt idx="1">
                  <c:v>Jairo A. Quintana</c:v>
                </c:pt>
              </c:strCache>
            </c:strRef>
          </c:cat>
          <c:val>
            <c:numRef>
              <c:f>'14_RSM_Vtas_Alt'!$N$5:$N$6</c:f>
              <c:numCache>
                <c:formatCode>0%</c:formatCode>
                <c:ptCount val="2"/>
                <c:pt idx="0">
                  <c:v>1.5670840787119857</c:v>
                </c:pt>
                <c:pt idx="1">
                  <c:v>1.5294463276836159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C0-4310-9DAF-2EE818386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010857"/>
        <c:axId val="89272257"/>
      </c:barChart>
      <c:catAx>
        <c:axId val="3101085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89272257"/>
        <c:crosses val="autoZero"/>
        <c:auto val="1"/>
        <c:lblAlgn val="ctr"/>
        <c:lblOffset val="100"/>
        <c:noMultiLvlLbl val="0"/>
      </c:catAx>
      <c:valAx>
        <c:axId val="89272257"/>
        <c:scaling>
          <c:orientation val="minMax"/>
        </c:scaling>
        <c:delete val="0"/>
        <c:axPos val="t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310108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160560</xdr:rowOff>
    </xdr:from>
    <xdr:to>
      <xdr:col>19</xdr:col>
      <xdr:colOff>364320</xdr:colOff>
      <xdr:row>17</xdr:row>
      <xdr:rowOff>179280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5</xdr:row>
      <xdr:rowOff>0</xdr:rowOff>
    </xdr:from>
    <xdr:to>
      <xdr:col>19</xdr:col>
      <xdr:colOff>396360</xdr:colOff>
      <xdr:row>18</xdr:row>
      <xdr:rowOff>127080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160920</xdr:rowOff>
    </xdr:from>
    <xdr:to>
      <xdr:col>5</xdr:col>
      <xdr:colOff>168345</xdr:colOff>
      <xdr:row>28</xdr:row>
      <xdr:rowOff>16005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16</xdr:row>
      <xdr:rowOff>0</xdr:rowOff>
    </xdr:from>
    <xdr:to>
      <xdr:col>5</xdr:col>
      <xdr:colOff>168705</xdr:colOff>
      <xdr:row>29</xdr:row>
      <xdr:rowOff>174660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160920</xdr:rowOff>
    </xdr:from>
    <xdr:to>
      <xdr:col>17</xdr:col>
      <xdr:colOff>364320</xdr:colOff>
      <xdr:row>16</xdr:row>
      <xdr:rowOff>1440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</xdr:row>
      <xdr:rowOff>0</xdr:rowOff>
    </xdr:from>
    <xdr:to>
      <xdr:col>17</xdr:col>
      <xdr:colOff>396360</xdr:colOff>
      <xdr:row>16</xdr:row>
      <xdr:rowOff>126720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160920</xdr:rowOff>
    </xdr:from>
    <xdr:to>
      <xdr:col>4</xdr:col>
      <xdr:colOff>517830</xdr:colOff>
      <xdr:row>27</xdr:row>
      <xdr:rowOff>19815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15</xdr:row>
      <xdr:rowOff>0</xdr:rowOff>
    </xdr:from>
    <xdr:to>
      <xdr:col>4</xdr:col>
      <xdr:colOff>517050</xdr:colOff>
      <xdr:row>28</xdr:row>
      <xdr:rowOff>170850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</xdr:row>
      <xdr:rowOff>160920</xdr:rowOff>
    </xdr:from>
    <xdr:to>
      <xdr:col>21</xdr:col>
      <xdr:colOff>364320</xdr:colOff>
      <xdr:row>17</xdr:row>
      <xdr:rowOff>1440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3</xdr:row>
      <xdr:rowOff>0</xdr:rowOff>
    </xdr:from>
    <xdr:to>
      <xdr:col>21</xdr:col>
      <xdr:colOff>396360</xdr:colOff>
      <xdr:row>17</xdr:row>
      <xdr:rowOff>136275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11</xdr:row>
      <xdr:rowOff>160560</xdr:rowOff>
    </xdr:from>
    <xdr:to>
      <xdr:col>21</xdr:col>
      <xdr:colOff>464040</xdr:colOff>
      <xdr:row>25</xdr:row>
      <xdr:rowOff>13320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26</xdr:row>
      <xdr:rowOff>160920</xdr:rowOff>
    </xdr:from>
    <xdr:to>
      <xdr:col>16</xdr:col>
      <xdr:colOff>1208520</xdr:colOff>
      <xdr:row>42</xdr:row>
      <xdr:rowOff>142920</xdr:rowOff>
    </xdr:to>
    <xdr:graphicFrame macro="">
      <xdr:nvGraphicFramePr>
        <xdr:cNvPr id="11" name="Chart 2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18</xdr:row>
      <xdr:rowOff>160920</xdr:rowOff>
    </xdr:from>
    <xdr:to>
      <xdr:col>17</xdr:col>
      <xdr:colOff>563040</xdr:colOff>
      <xdr:row>34</xdr:row>
      <xdr:rowOff>1440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21</xdr:row>
      <xdr:rowOff>0</xdr:rowOff>
    </xdr:from>
    <xdr:to>
      <xdr:col>17</xdr:col>
      <xdr:colOff>569880</xdr:colOff>
      <xdr:row>36</xdr:row>
      <xdr:rowOff>165240</xdr:rowOff>
    </xdr:to>
    <xdr:graphicFrame macro="">
      <xdr:nvGraphicFramePr>
        <xdr:cNvPr id="13" name="Chart 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20</xdr:row>
      <xdr:rowOff>160920</xdr:rowOff>
    </xdr:from>
    <xdr:to>
      <xdr:col>17</xdr:col>
      <xdr:colOff>563040</xdr:colOff>
      <xdr:row>36</xdr:row>
      <xdr:rowOff>1440</xdr:rowOff>
    </xdr:to>
    <xdr:graphicFrame macro="">
      <xdr:nvGraphicFramePr>
        <xdr:cNvPr id="14" name="Chart 1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21</xdr:row>
      <xdr:rowOff>0</xdr:rowOff>
    </xdr:from>
    <xdr:to>
      <xdr:col>17</xdr:col>
      <xdr:colOff>569880</xdr:colOff>
      <xdr:row>36</xdr:row>
      <xdr:rowOff>165240</xdr:rowOff>
    </xdr:to>
    <xdr:graphicFrame macro="">
      <xdr:nvGraphicFramePr>
        <xdr:cNvPr id="15" name="Chart 2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20</xdr:row>
      <xdr:rowOff>160920</xdr:rowOff>
    </xdr:from>
    <xdr:to>
      <xdr:col>17</xdr:col>
      <xdr:colOff>563040</xdr:colOff>
      <xdr:row>36</xdr:row>
      <xdr:rowOff>1440</xdr:rowOff>
    </xdr:to>
    <xdr:graphicFrame macro="">
      <xdr:nvGraphicFramePr>
        <xdr:cNvPr id="16" name="Chart 1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21</xdr:row>
      <xdr:rowOff>0</xdr:rowOff>
    </xdr:from>
    <xdr:to>
      <xdr:col>17</xdr:col>
      <xdr:colOff>569880</xdr:colOff>
      <xdr:row>36</xdr:row>
      <xdr:rowOff>165240</xdr:rowOff>
    </xdr:to>
    <xdr:graphicFrame macro="">
      <xdr:nvGraphicFramePr>
        <xdr:cNvPr id="17" name="Chart 2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20</xdr:row>
      <xdr:rowOff>160920</xdr:rowOff>
    </xdr:from>
    <xdr:to>
      <xdr:col>17</xdr:col>
      <xdr:colOff>563040</xdr:colOff>
      <xdr:row>36</xdr:row>
      <xdr:rowOff>1440</xdr:rowOff>
    </xdr:to>
    <xdr:graphicFrame macro="">
      <xdr:nvGraphicFramePr>
        <xdr:cNvPr id="18" name="Chart 1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21</xdr:row>
      <xdr:rowOff>0</xdr:rowOff>
    </xdr:from>
    <xdr:to>
      <xdr:col>17</xdr:col>
      <xdr:colOff>569880</xdr:colOff>
      <xdr:row>36</xdr:row>
      <xdr:rowOff>165240</xdr:rowOff>
    </xdr:to>
    <xdr:graphicFrame macro="">
      <xdr:nvGraphicFramePr>
        <xdr:cNvPr id="19" name="Chart 2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20</xdr:row>
      <xdr:rowOff>160920</xdr:rowOff>
    </xdr:from>
    <xdr:to>
      <xdr:col>17</xdr:col>
      <xdr:colOff>559800</xdr:colOff>
      <xdr:row>36</xdr:row>
      <xdr:rowOff>1440</xdr:rowOff>
    </xdr:to>
    <xdr:graphicFrame macro="">
      <xdr:nvGraphicFramePr>
        <xdr:cNvPr id="20" name="Chart 1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21</xdr:row>
      <xdr:rowOff>0</xdr:rowOff>
    </xdr:from>
    <xdr:to>
      <xdr:col>17</xdr:col>
      <xdr:colOff>569880</xdr:colOff>
      <xdr:row>36</xdr:row>
      <xdr:rowOff>165240</xdr:rowOff>
    </xdr:to>
    <xdr:graphicFrame macro="">
      <xdr:nvGraphicFramePr>
        <xdr:cNvPr id="21" name="Chart 2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20</xdr:row>
      <xdr:rowOff>160920</xdr:rowOff>
    </xdr:from>
    <xdr:to>
      <xdr:col>17</xdr:col>
      <xdr:colOff>566280</xdr:colOff>
      <xdr:row>36</xdr:row>
      <xdr:rowOff>1800</xdr:rowOff>
    </xdr:to>
    <xdr:graphicFrame macro="">
      <xdr:nvGraphicFramePr>
        <xdr:cNvPr id="22" name="Chart 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21</xdr:row>
      <xdr:rowOff>0</xdr:rowOff>
    </xdr:from>
    <xdr:to>
      <xdr:col>17</xdr:col>
      <xdr:colOff>569880</xdr:colOff>
      <xdr:row>36</xdr:row>
      <xdr:rowOff>165240</xdr:rowOff>
    </xdr:to>
    <xdr:graphicFrame macro="">
      <xdr:nvGraphicFramePr>
        <xdr:cNvPr id="23" name="Chart 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EDB6"/>
  </sheetPr>
  <dimension ref="A1:A24"/>
  <sheetViews>
    <sheetView showGridLines="0" zoomScaleNormal="100" workbookViewId="0">
      <selection activeCell="A16" sqref="A16"/>
    </sheetView>
  </sheetViews>
  <sheetFormatPr baseColWidth="10" defaultColWidth="8.7109375" defaultRowHeight="15" x14ac:dyDescent="0.25"/>
  <cols>
    <col min="1" max="1" width="140" customWidth="1"/>
  </cols>
  <sheetData>
    <row r="1" spans="1:1" ht="18" customHeight="1" x14ac:dyDescent="0.25">
      <c r="A1" s="2" t="s">
        <v>0</v>
      </c>
    </row>
    <row r="3" spans="1:1" x14ac:dyDescent="0.25">
      <c r="A3" s="3" t="s">
        <v>1</v>
      </c>
    </row>
    <row r="4" spans="1:1" x14ac:dyDescent="0.25">
      <c r="A4" s="4" t="s">
        <v>2</v>
      </c>
    </row>
    <row r="5" spans="1:1" x14ac:dyDescent="0.25">
      <c r="A5" s="4" t="s">
        <v>3</v>
      </c>
    </row>
    <row r="6" spans="1:1" x14ac:dyDescent="0.25">
      <c r="A6" s="4" t="s">
        <v>4</v>
      </c>
    </row>
    <row r="7" spans="1:1" x14ac:dyDescent="0.25">
      <c r="A7" s="4" t="s">
        <v>5</v>
      </c>
    </row>
    <row r="8" spans="1:1" x14ac:dyDescent="0.25">
      <c r="A8" s="4" t="s">
        <v>6</v>
      </c>
    </row>
    <row r="9" spans="1:1" x14ac:dyDescent="0.25">
      <c r="A9" s="4" t="s">
        <v>7</v>
      </c>
    </row>
    <row r="10" spans="1:1" x14ac:dyDescent="0.25">
      <c r="A10" s="4" t="s">
        <v>8</v>
      </c>
    </row>
    <row r="11" spans="1:1" x14ac:dyDescent="0.25">
      <c r="A11" s="4"/>
    </row>
    <row r="12" spans="1:1" x14ac:dyDescent="0.25">
      <c r="A12" s="3" t="s">
        <v>9</v>
      </c>
    </row>
    <row r="13" spans="1:1" x14ac:dyDescent="0.25">
      <c r="A13" s="4" t="s">
        <v>10</v>
      </c>
    </row>
    <row r="14" spans="1:1" x14ac:dyDescent="0.25">
      <c r="A14" s="4" t="s">
        <v>11</v>
      </c>
    </row>
    <row r="16" spans="1:1" x14ac:dyDescent="0.25">
      <c r="A16" s="5" t="s">
        <v>12</v>
      </c>
    </row>
    <row r="17" spans="1:1" x14ac:dyDescent="0.25">
      <c r="A17" s="6" t="s">
        <v>13</v>
      </c>
    </row>
    <row r="18" spans="1:1" x14ac:dyDescent="0.25">
      <c r="A18" s="6" t="s">
        <v>14</v>
      </c>
    </row>
    <row r="19" spans="1:1" x14ac:dyDescent="0.25">
      <c r="A19" s="6" t="s">
        <v>15</v>
      </c>
    </row>
    <row r="20" spans="1:1" x14ac:dyDescent="0.25">
      <c r="A20" s="6" t="s">
        <v>16</v>
      </c>
    </row>
    <row r="21" spans="1:1" x14ac:dyDescent="0.25">
      <c r="A21" s="6" t="s">
        <v>17</v>
      </c>
    </row>
    <row r="22" spans="1:1" x14ac:dyDescent="0.25">
      <c r="A22" s="5" t="s">
        <v>18</v>
      </c>
    </row>
    <row r="23" spans="1:1" x14ac:dyDescent="0.25">
      <c r="A23" s="6" t="s">
        <v>19</v>
      </c>
    </row>
    <row r="24" spans="1:1" x14ac:dyDescent="0.25">
      <c r="A24" s="6" t="s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EDB6"/>
  </sheetPr>
  <dimension ref="A1:L14"/>
  <sheetViews>
    <sheetView showGridLines="0" zoomScaleNormal="100" workbookViewId="0"/>
  </sheetViews>
  <sheetFormatPr baseColWidth="10" defaultColWidth="8.7109375" defaultRowHeight="15" x14ac:dyDescent="0.25"/>
  <cols>
    <col min="1" max="1" width="30" customWidth="1"/>
    <col min="2" max="2" width="7" customWidth="1"/>
    <col min="3" max="5" width="16" customWidth="1"/>
    <col min="6" max="6" width="12" customWidth="1"/>
    <col min="7" max="7" width="13" customWidth="1"/>
    <col min="8" max="8" width="14" customWidth="1"/>
    <col min="9" max="10" width="38" customWidth="1"/>
    <col min="11" max="11" width="16" customWidth="1"/>
    <col min="12" max="12" width="11" customWidth="1"/>
  </cols>
  <sheetData>
    <row r="1" spans="1:12" ht="18" x14ac:dyDescent="0.25">
      <c r="A1" s="7" t="s">
        <v>21</v>
      </c>
    </row>
    <row r="2" spans="1:12" x14ac:dyDescent="0.25">
      <c r="A2" s="8" t="s">
        <v>22</v>
      </c>
    </row>
    <row r="4" spans="1:12" ht="31.5" customHeight="1" x14ac:dyDescent="0.25">
      <c r="A4" s="9" t="s">
        <v>23</v>
      </c>
      <c r="B4" s="9" t="s">
        <v>24</v>
      </c>
      <c r="C4" s="9" t="s">
        <v>25</v>
      </c>
      <c r="D4" s="9" t="s">
        <v>26</v>
      </c>
      <c r="E4" s="9" t="s">
        <v>27</v>
      </c>
      <c r="F4" s="9" t="s">
        <v>28</v>
      </c>
      <c r="G4" s="9" t="s">
        <v>29</v>
      </c>
      <c r="H4" s="9" t="s">
        <v>30</v>
      </c>
      <c r="I4" s="9" t="s">
        <v>31</v>
      </c>
      <c r="J4" s="9" t="s">
        <v>32</v>
      </c>
      <c r="K4" s="9" t="s">
        <v>33</v>
      </c>
      <c r="L4" s="9" t="s">
        <v>34</v>
      </c>
    </row>
    <row r="5" spans="1:12" x14ac:dyDescent="0.25">
      <c r="A5" s="10" t="s">
        <v>35</v>
      </c>
      <c r="B5" s="11" t="s">
        <v>36</v>
      </c>
      <c r="C5" s="12"/>
      <c r="D5" s="13">
        <f>'02_OI'!E7</f>
        <v>1400088</v>
      </c>
      <c r="E5" s="14" t="str">
        <f t="shared" ref="E5:E11" si="0">IF(C5="","",D5-C5)</f>
        <v/>
      </c>
      <c r="F5" s="15" t="str">
        <f t="shared" ref="F5:F11" si="1">IF(OR(C5="",C5=0),"",D5/C5)</f>
        <v/>
      </c>
      <c r="G5" s="16" t="str">
        <f t="shared" ref="G5:G10" si="2">IF(F5="","Definir",IF(ROUND(F5,2)&gt;=1,"Verde",IF(ROUND(F5,2)&gt;=0.85,"Amarillo","Rojo")))</f>
        <v>Definir</v>
      </c>
      <c r="H5" s="1"/>
      <c r="I5" s="1"/>
      <c r="J5" s="1"/>
      <c r="K5" s="1"/>
      <c r="L5" s="17"/>
    </row>
    <row r="6" spans="1:12" ht="38.25" x14ac:dyDescent="0.25">
      <c r="A6" s="10" t="s">
        <v>37</v>
      </c>
      <c r="B6" s="11" t="s">
        <v>36</v>
      </c>
      <c r="C6" s="13">
        <f>RSM_Resumen_Canales!E11</f>
        <v>1247362.875</v>
      </c>
      <c r="D6" s="13">
        <f>RSM_Resumen_Canales!D11</f>
        <v>1058016</v>
      </c>
      <c r="E6" s="14">
        <f t="shared" si="0"/>
        <v>-189346.875</v>
      </c>
      <c r="F6" s="15">
        <f t="shared" si="1"/>
        <v>0.84820225229165969</v>
      </c>
      <c r="G6" s="16" t="str">
        <f t="shared" si="2"/>
        <v>Amarillo</v>
      </c>
      <c r="H6" s="1"/>
      <c r="I6" s="1" t="s">
        <v>38</v>
      </c>
      <c r="J6" s="1" t="s">
        <v>39</v>
      </c>
      <c r="K6" s="1"/>
      <c r="L6" s="17"/>
    </row>
    <row r="7" spans="1:12" x14ac:dyDescent="0.25">
      <c r="A7" s="10" t="s">
        <v>40</v>
      </c>
      <c r="B7" s="11" t="s">
        <v>41</v>
      </c>
      <c r="C7" s="18"/>
      <c r="D7" s="19">
        <f>'02_OI'!E12</f>
        <v>0.25</v>
      </c>
      <c r="E7" s="20" t="str">
        <f t="shared" si="0"/>
        <v/>
      </c>
      <c r="F7" s="15" t="str">
        <f t="shared" si="1"/>
        <v/>
      </c>
      <c r="G7" s="16" t="str">
        <f t="shared" si="2"/>
        <v>Definir</v>
      </c>
      <c r="H7" s="1"/>
      <c r="I7" s="1"/>
      <c r="J7" s="1"/>
      <c r="K7" s="1"/>
      <c r="L7" s="17"/>
    </row>
    <row r="8" spans="1:12" x14ac:dyDescent="0.25">
      <c r="A8" s="10" t="s">
        <v>42</v>
      </c>
      <c r="B8" s="11" t="s">
        <v>36</v>
      </c>
      <c r="C8" s="12"/>
      <c r="D8" s="13">
        <f>'04_Backlog'!B5</f>
        <v>525529</v>
      </c>
      <c r="E8" s="14" t="str">
        <f t="shared" si="0"/>
        <v/>
      </c>
      <c r="F8" s="15" t="str">
        <f t="shared" si="1"/>
        <v/>
      </c>
      <c r="G8" s="16" t="str">
        <f t="shared" si="2"/>
        <v>Definir</v>
      </c>
      <c r="H8" s="1"/>
      <c r="I8" s="1"/>
      <c r="J8" s="1"/>
      <c r="K8" s="1"/>
      <c r="L8" s="17"/>
    </row>
    <row r="9" spans="1:12" x14ac:dyDescent="0.25">
      <c r="A9" s="10" t="s">
        <v>43</v>
      </c>
      <c r="B9" s="11" t="s">
        <v>41</v>
      </c>
      <c r="C9" s="18"/>
      <c r="D9" s="19">
        <f>RSM_Resumen_Canales!J11</f>
        <v>0.26897602275809962</v>
      </c>
      <c r="E9" s="20" t="str">
        <f t="shared" si="0"/>
        <v/>
      </c>
      <c r="F9" s="15" t="str">
        <f t="shared" si="1"/>
        <v/>
      </c>
      <c r="G9" s="16" t="str">
        <f t="shared" si="2"/>
        <v>Definir</v>
      </c>
      <c r="H9" s="1"/>
      <c r="I9" s="1"/>
      <c r="J9" s="1"/>
      <c r="K9" s="1"/>
      <c r="L9" s="17"/>
    </row>
    <row r="10" spans="1:12" x14ac:dyDescent="0.25">
      <c r="A10" s="10" t="s">
        <v>44</v>
      </c>
      <c r="B10" s="11" t="s">
        <v>36</v>
      </c>
      <c r="C10" s="12"/>
      <c r="D10" s="13">
        <f>'06_Perf_Forecast'!B30</f>
        <v>1651050</v>
      </c>
      <c r="E10" s="14" t="str">
        <f t="shared" si="0"/>
        <v/>
      </c>
      <c r="F10" s="15" t="str">
        <f t="shared" si="1"/>
        <v/>
      </c>
      <c r="G10" s="16" t="str">
        <f t="shared" si="2"/>
        <v>Definir</v>
      </c>
      <c r="H10" s="1"/>
      <c r="I10" s="1" t="s">
        <v>45</v>
      </c>
      <c r="J10" s="1"/>
      <c r="K10" s="1"/>
      <c r="L10" s="17"/>
    </row>
    <row r="11" spans="1:12" x14ac:dyDescent="0.25">
      <c r="A11" s="10" t="s">
        <v>46</v>
      </c>
      <c r="B11" s="11" t="s">
        <v>47</v>
      </c>
      <c r="C11" s="21">
        <v>8</v>
      </c>
      <c r="D11" s="22">
        <f>COUNTIF('16_Iniciativas'!J5:J12,"Verde")</f>
        <v>0</v>
      </c>
      <c r="E11" s="14">
        <f t="shared" si="0"/>
        <v>-8</v>
      </c>
      <c r="F11" s="15">
        <f t="shared" si="1"/>
        <v>0</v>
      </c>
      <c r="G11" s="16" t="str">
        <f>IF(COUNTA('16_Iniciativas'!J5:J12)=0,"Definir",IF(ROUND(F11,2)&gt;=1,"Verde",IF(ROUND(F11,2)&gt;=0.85,"Amarillo","Rojo")))</f>
        <v>Definir</v>
      </c>
      <c r="H11" s="1"/>
      <c r="I11" s="1"/>
      <c r="J11" s="1"/>
      <c r="K11" s="1"/>
      <c r="L11" s="17"/>
    </row>
    <row r="13" spans="1:12" x14ac:dyDescent="0.25">
      <c r="A13" s="8" t="s">
        <v>48</v>
      </c>
    </row>
    <row r="14" spans="1:12" ht="31.5" customHeight="1" x14ac:dyDescent="0.25">
      <c r="A14" s="23" t="s">
        <v>49</v>
      </c>
      <c r="C14" s="98" t="s">
        <v>50</v>
      </c>
      <c r="D14" s="98"/>
      <c r="E14" s="98"/>
      <c r="F14" s="98"/>
      <c r="G14" s="98"/>
      <c r="H14" s="98"/>
      <c r="I14" s="98"/>
      <c r="J14" s="98"/>
      <c r="K14" s="98"/>
      <c r="L14" s="98"/>
    </row>
  </sheetData>
  <mergeCells count="1">
    <mergeCell ref="C14:L14"/>
  </mergeCells>
  <conditionalFormatting sqref="G5:H11">
    <cfRule type="expression" dxfId="55" priority="2">
      <formula>G5="Verde"</formula>
    </cfRule>
    <cfRule type="expression" dxfId="54" priority="3">
      <formula>G5="Amarillo"</formula>
    </cfRule>
    <cfRule type="expression" dxfId="53" priority="4">
      <formula>G5="Rojo"</formula>
    </cfRule>
  </conditionalFormatting>
  <dataValidations count="1">
    <dataValidation type="list" allowBlank="1" sqref="H5:H11" xr:uid="{00000000-0002-0000-0100-000000000000}">
      <formula1>"Verde,Amarillo,Rojo"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61530"/>
  </sheetPr>
  <dimension ref="A1:I29"/>
  <sheetViews>
    <sheetView showGridLines="0" zoomScaleNormal="100" workbookViewId="0">
      <selection activeCell="A10" sqref="A10:E31"/>
    </sheetView>
  </sheetViews>
  <sheetFormatPr baseColWidth="10" defaultColWidth="8.7109375" defaultRowHeight="15" x14ac:dyDescent="0.25"/>
  <cols>
    <col min="1" max="1" width="34" customWidth="1"/>
    <col min="2" max="2" width="40" customWidth="1"/>
    <col min="3" max="3" width="20" customWidth="1"/>
    <col min="4" max="4" width="22" customWidth="1"/>
    <col min="5" max="6" width="14" customWidth="1"/>
    <col min="7" max="9" width="11" customWidth="1"/>
  </cols>
  <sheetData>
    <row r="1" spans="1:9" ht="18" customHeight="1" x14ac:dyDescent="0.25">
      <c r="A1" s="2" t="s">
        <v>51</v>
      </c>
    </row>
    <row r="2" spans="1:9" x14ac:dyDescent="0.25">
      <c r="A2" s="24" t="s">
        <v>52</v>
      </c>
    </row>
    <row r="4" spans="1:9" ht="30" customHeight="1" x14ac:dyDescent="0.25">
      <c r="A4" s="25" t="s">
        <v>53</v>
      </c>
      <c r="B4" s="25" t="s">
        <v>54</v>
      </c>
      <c r="C4" s="25" t="s">
        <v>55</v>
      </c>
      <c r="D4" s="25" t="s">
        <v>56</v>
      </c>
      <c r="E4" s="25" t="s">
        <v>57</v>
      </c>
      <c r="F4" s="25" t="s">
        <v>58</v>
      </c>
      <c r="G4" s="25" t="s">
        <v>59</v>
      </c>
      <c r="H4" s="25" t="s">
        <v>60</v>
      </c>
      <c r="I4" s="25" t="s">
        <v>61</v>
      </c>
    </row>
    <row r="5" spans="1:9" x14ac:dyDescent="0.25">
      <c r="A5" s="26" t="s">
        <v>62</v>
      </c>
      <c r="B5" s="27">
        <v>141231</v>
      </c>
      <c r="C5" s="27">
        <v>99001</v>
      </c>
      <c r="D5" s="27">
        <v>125933</v>
      </c>
      <c r="E5" s="27">
        <v>1199504</v>
      </c>
      <c r="F5" s="27">
        <v>1120888</v>
      </c>
      <c r="G5" s="28">
        <f>IF(OR(B5="",C5=""),"",IF(C5=0,"n.a.",B5/C5-1))</f>
        <v>0.42656134786517308</v>
      </c>
      <c r="H5" s="28">
        <f>IF(OR(B5="",D5=""),"",IF(D5=0,"n.a.",B5/D5-1))</f>
        <v>0.12147729348145453</v>
      </c>
      <c r="I5" s="28">
        <f>IF(OR(E5="",F5=""),"",IF(F5=0,"n.a.",E5/F5-1))</f>
        <v>7.01372483245426E-2</v>
      </c>
    </row>
    <row r="6" spans="1:9" x14ac:dyDescent="0.25">
      <c r="A6" s="26" t="s">
        <v>63</v>
      </c>
      <c r="B6" s="27">
        <v>160547</v>
      </c>
      <c r="C6" s="27">
        <v>132769</v>
      </c>
      <c r="D6" s="27">
        <v>146446</v>
      </c>
      <c r="E6" s="27">
        <v>1400088</v>
      </c>
      <c r="F6" s="27">
        <v>988103</v>
      </c>
      <c r="G6" s="28">
        <f>IF(OR(B6="",C6=""),"",IF(C6=0,"n.a.",B6/C6-1))</f>
        <v>0.20922052587576911</v>
      </c>
      <c r="H6" s="28">
        <f>IF(OR(B6="",D6=""),"",IF(D6=0,"n.a.",B6/D6-1))</f>
        <v>9.6288051568496291E-2</v>
      </c>
      <c r="I6" s="28">
        <f>IF(OR(E6="",F6=""),"",IF(F6=0,"n.a.",E6/F6-1))</f>
        <v>0.41694539941686237</v>
      </c>
    </row>
    <row r="7" spans="1:9" x14ac:dyDescent="0.25">
      <c r="A7" s="26" t="s">
        <v>64</v>
      </c>
      <c r="E7" s="29">
        <f>IFERROR(E6/E5,"")</f>
        <v>1.1672224519468046</v>
      </c>
    </row>
    <row r="8" spans="1:9" x14ac:dyDescent="0.25">
      <c r="A8" s="26" t="s">
        <v>65</v>
      </c>
      <c r="B8" s="29">
        <f>IFERROR(B6/B5,"")</f>
        <v>1.1367688397023317</v>
      </c>
    </row>
    <row r="10" spans="1:9" ht="30" customHeight="1" x14ac:dyDescent="0.25">
      <c r="A10" s="25" t="s">
        <v>66</v>
      </c>
      <c r="B10" s="25" t="s">
        <v>36</v>
      </c>
      <c r="C10" s="25" t="s">
        <v>67</v>
      </c>
    </row>
    <row r="11" spans="1:9" x14ac:dyDescent="0.25">
      <c r="A11" s="30" t="s">
        <v>68</v>
      </c>
      <c r="B11" s="27"/>
      <c r="C11" s="28">
        <f>IFERROR(B11/SUM($B$11:$B$12),0)</f>
        <v>0</v>
      </c>
    </row>
    <row r="12" spans="1:9" x14ac:dyDescent="0.25">
      <c r="A12" s="30" t="s">
        <v>69</v>
      </c>
      <c r="B12" s="27"/>
      <c r="C12" s="28">
        <f>IFERROR(B12/SUM($B$11:$B$12),0)</f>
        <v>0</v>
      </c>
    </row>
    <row r="14" spans="1:9" ht="30" customHeight="1" x14ac:dyDescent="0.25">
      <c r="A14" s="25" t="s">
        <v>70</v>
      </c>
      <c r="B14" s="25" t="s">
        <v>36</v>
      </c>
      <c r="C14" s="25" t="s">
        <v>67</v>
      </c>
    </row>
    <row r="15" spans="1:9" x14ac:dyDescent="0.25">
      <c r="A15" s="30" t="s">
        <v>71</v>
      </c>
      <c r="B15" s="27"/>
      <c r="C15" s="28">
        <f>IFERROR(B15/SUM($B$15:$B$16),0)</f>
        <v>0</v>
      </c>
    </row>
    <row r="16" spans="1:9" x14ac:dyDescent="0.25">
      <c r="A16" s="30" t="s">
        <v>72</v>
      </c>
      <c r="B16" s="27"/>
      <c r="C16" s="28">
        <f>IFERROR(B16/SUM($B$15:$B$16),0)</f>
        <v>0</v>
      </c>
    </row>
    <row r="18" spans="1:4" ht="30" customHeight="1" x14ac:dyDescent="0.25">
      <c r="A18" s="25" t="s">
        <v>73</v>
      </c>
      <c r="B18" s="25" t="s">
        <v>74</v>
      </c>
      <c r="C18" s="25" t="s">
        <v>75</v>
      </c>
      <c r="D18" s="25" t="s">
        <v>76</v>
      </c>
    </row>
    <row r="19" spans="1:4" x14ac:dyDescent="0.25">
      <c r="A19" s="31" t="s">
        <v>77</v>
      </c>
      <c r="B19" s="27">
        <v>8828</v>
      </c>
      <c r="C19" s="28">
        <f>IFERROR(B19/SUM($B$19:$B$23),0)</f>
        <v>0.21965116568385956</v>
      </c>
      <c r="D19" s="32">
        <f>RANK(B19,$B$19:$B$23)</f>
        <v>3</v>
      </c>
    </row>
    <row r="20" spans="1:4" x14ac:dyDescent="0.25">
      <c r="A20" s="31" t="s">
        <v>78</v>
      </c>
      <c r="B20" s="27">
        <v>6421</v>
      </c>
      <c r="C20" s="28">
        <f>IFERROR(B20/SUM($B$19:$B$23),0)</f>
        <v>0.15976213580154761</v>
      </c>
      <c r="D20" s="32">
        <f>RANK(B20,$B$19:$B$23)</f>
        <v>4</v>
      </c>
    </row>
    <row r="21" spans="1:4" x14ac:dyDescent="0.25">
      <c r="A21" s="31" t="s">
        <v>627</v>
      </c>
      <c r="B21" s="27">
        <v>15144</v>
      </c>
      <c r="C21" s="28">
        <f>IFERROR(B21/SUM($B$19:$B$23),0)</f>
        <v>0.37680077629319997</v>
      </c>
      <c r="D21" s="32">
        <f>RANK(B21,$B$19:$B$23)</f>
        <v>1</v>
      </c>
    </row>
    <row r="22" spans="1:4" x14ac:dyDescent="0.25">
      <c r="A22" s="31" t="s">
        <v>80</v>
      </c>
      <c r="B22" s="27">
        <v>9798</v>
      </c>
      <c r="C22" s="28">
        <f>IFERROR(B22/SUM($B$19:$B$23),0)</f>
        <v>0.24378592222139284</v>
      </c>
      <c r="D22" s="32">
        <f>RANK(B22,$B$19:$B$23)</f>
        <v>2</v>
      </c>
    </row>
    <row r="23" spans="1:4" x14ac:dyDescent="0.25">
      <c r="A23" s="31"/>
      <c r="B23" s="27"/>
      <c r="C23" s="28">
        <f>IFERROR(B23/SUM($B$19:$B$23),0)</f>
        <v>0</v>
      </c>
      <c r="D23" s="32" t="e">
        <f>RANK(B23,$B$19:$B$23)</f>
        <v>#N/A</v>
      </c>
    </row>
    <row r="24" spans="1:4" x14ac:dyDescent="0.25">
      <c r="A24" s="33" t="s">
        <v>81</v>
      </c>
      <c r="B24" s="34">
        <f>SUM(B19:B23)</f>
        <v>40191</v>
      </c>
      <c r="C24" s="35">
        <f>SUM(C19:C23)</f>
        <v>1</v>
      </c>
    </row>
    <row r="26" spans="1:4" ht="30" customHeight="1" x14ac:dyDescent="0.25">
      <c r="A26" s="25" t="s">
        <v>82</v>
      </c>
      <c r="B26" s="25" t="s">
        <v>83</v>
      </c>
      <c r="C26" s="25" t="s">
        <v>84</v>
      </c>
      <c r="D26" s="25" t="s">
        <v>85</v>
      </c>
    </row>
    <row r="27" spans="1:4" x14ac:dyDescent="0.25">
      <c r="A27" s="31" t="s">
        <v>86</v>
      </c>
      <c r="B27" s="31" t="s">
        <v>87</v>
      </c>
      <c r="C27" s="31" t="s">
        <v>72</v>
      </c>
      <c r="D27" s="36">
        <v>306</v>
      </c>
    </row>
    <row r="28" spans="1:4" x14ac:dyDescent="0.25">
      <c r="A28" s="31" t="s">
        <v>88</v>
      </c>
      <c r="B28" s="31" t="s">
        <v>89</v>
      </c>
      <c r="C28" s="31" t="s">
        <v>90</v>
      </c>
      <c r="D28" s="36">
        <v>236</v>
      </c>
    </row>
    <row r="29" spans="1:4" x14ac:dyDescent="0.25">
      <c r="A29" s="31" t="s">
        <v>91</v>
      </c>
      <c r="B29" s="31" t="s">
        <v>92</v>
      </c>
      <c r="C29" s="31" t="s">
        <v>68</v>
      </c>
      <c r="D29" s="36">
        <v>173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61530"/>
  </sheetPr>
  <dimension ref="A1:H28"/>
  <sheetViews>
    <sheetView showGridLines="0" zoomScaleNormal="100" workbookViewId="0">
      <selection activeCell="D23" sqref="D23"/>
    </sheetView>
  </sheetViews>
  <sheetFormatPr baseColWidth="10" defaultColWidth="8.7109375" defaultRowHeight="15" x14ac:dyDescent="0.25"/>
  <cols>
    <col min="1" max="1" width="30" customWidth="1"/>
    <col min="2" max="2" width="13" customWidth="1"/>
    <col min="3" max="4" width="16" customWidth="1"/>
    <col min="5" max="6" width="13" customWidth="1"/>
    <col min="7" max="8" width="16" customWidth="1"/>
  </cols>
  <sheetData>
    <row r="1" spans="1:8" ht="18" customHeight="1" x14ac:dyDescent="0.25">
      <c r="A1" s="2" t="s">
        <v>629</v>
      </c>
    </row>
    <row r="2" spans="1:8" x14ac:dyDescent="0.25">
      <c r="A2" s="24" t="s">
        <v>93</v>
      </c>
    </row>
    <row r="4" spans="1:8" x14ac:dyDescent="0.25">
      <c r="A4" s="26" t="s">
        <v>94</v>
      </c>
      <c r="B4" s="37">
        <v>9</v>
      </c>
    </row>
    <row r="6" spans="1:8" ht="30" customHeight="1" x14ac:dyDescent="0.25">
      <c r="A6" s="25" t="s">
        <v>95</v>
      </c>
      <c r="B6" s="25" t="s">
        <v>96</v>
      </c>
      <c r="C6" s="25" t="s">
        <v>97</v>
      </c>
      <c r="D6" s="25" t="s">
        <v>59</v>
      </c>
      <c r="E6" s="25" t="s">
        <v>98</v>
      </c>
      <c r="F6" s="25" t="s">
        <v>99</v>
      </c>
      <c r="G6" s="25" t="s">
        <v>61</v>
      </c>
    </row>
    <row r="7" spans="1:8" x14ac:dyDescent="0.25">
      <c r="A7" s="26" t="s">
        <v>100</v>
      </c>
      <c r="B7" s="27">
        <v>160547</v>
      </c>
      <c r="C7" s="27">
        <v>132786</v>
      </c>
      <c r="D7" s="28">
        <f>IF(OR(B7="",C7=""),"",IF(C7=0,"n.a.",B7/C7-1))</f>
        <v>0.20906571475908597</v>
      </c>
      <c r="E7" s="27">
        <v>1400088</v>
      </c>
      <c r="F7" s="27">
        <v>112088</v>
      </c>
      <c r="G7" s="28">
        <f>IF(OR(E7="",F7=""),"",IF(F7=0,"n.a.",E7/F7-1))</f>
        <v>11.49097137963029</v>
      </c>
    </row>
    <row r="8" spans="1:8" x14ac:dyDescent="0.25">
      <c r="A8" s="26" t="s">
        <v>101</v>
      </c>
      <c r="B8" s="27">
        <v>20793</v>
      </c>
      <c r="C8" s="27">
        <v>10126</v>
      </c>
      <c r="D8" s="28">
        <f>IF(OR(B8="",C8=""),"",IF(C8=0,"n.a.",B8/C8-1))</f>
        <v>1.0534268220422676</v>
      </c>
      <c r="E8" s="27">
        <v>229903</v>
      </c>
      <c r="F8" s="27">
        <v>88736</v>
      </c>
      <c r="G8" s="28">
        <f>IF(OR(E8="",F8=""),"",IF(F8=0,"n.a.",E8/F8-1))</f>
        <v>1.5908650378651279</v>
      </c>
    </row>
    <row r="9" spans="1:8" x14ac:dyDescent="0.25">
      <c r="A9" s="26" t="s">
        <v>102</v>
      </c>
      <c r="B9" s="27">
        <v>16271</v>
      </c>
      <c r="C9" s="27">
        <v>13834</v>
      </c>
      <c r="D9" s="28">
        <f>IF(OR(B9="",C9=""),"",IF(C9=0,"n.a.",B9/C9-1))</f>
        <v>0.1761601850513228</v>
      </c>
      <c r="E9" s="27">
        <v>122613</v>
      </c>
      <c r="F9" s="27">
        <v>52330</v>
      </c>
      <c r="G9" s="28">
        <f>IF(OR(E9="",F9=""),"",IF(F9=0,"n.a.",E9/F9-1))</f>
        <v>1.343072807185171</v>
      </c>
    </row>
    <row r="10" spans="1:8" x14ac:dyDescent="0.25">
      <c r="A10" s="26" t="s">
        <v>103</v>
      </c>
      <c r="B10" s="27">
        <v>7880</v>
      </c>
      <c r="C10" s="27">
        <v>0</v>
      </c>
      <c r="D10" s="28" t="str">
        <f>IF(OR(B10="",C10=""),"",IF(C10=0,"n.a.",B10/C10-1))</f>
        <v>n.a.</v>
      </c>
      <c r="E10" s="27">
        <v>5817</v>
      </c>
      <c r="F10" s="27">
        <v>563</v>
      </c>
      <c r="G10" s="28">
        <f>IF(OR(E10="",F10=""),"",IF(F10=0,"n.a.",E10/F10-1))</f>
        <v>9.3321492007104787</v>
      </c>
    </row>
    <row r="11" spans="1:8" x14ac:dyDescent="0.25">
      <c r="A11" s="26" t="s">
        <v>104</v>
      </c>
      <c r="B11" s="27">
        <v>14484</v>
      </c>
      <c r="C11" s="27">
        <v>12723</v>
      </c>
      <c r="D11" s="28">
        <f>IF(OR(B11="",C11=""),"",IF(C11=0,"n.a.",B11/C11-1))</f>
        <v>0.13841075218108934</v>
      </c>
      <c r="E11" s="27">
        <v>144659</v>
      </c>
      <c r="F11" s="27">
        <v>108228</v>
      </c>
      <c r="G11" s="28">
        <f>IF(OR(E11="",F11=""),"",IF(F11=0,"n.a.",E11/F11-1))</f>
        <v>0.33661344568873131</v>
      </c>
    </row>
    <row r="12" spans="1:8" x14ac:dyDescent="0.25">
      <c r="A12" s="26" t="s">
        <v>105</v>
      </c>
      <c r="B12" s="38">
        <v>0.27</v>
      </c>
      <c r="C12" s="38">
        <v>0.24</v>
      </c>
      <c r="D12" s="39">
        <f>IF(OR(B12="",C12=""),"",(B12-C12)*100)</f>
        <v>3.0000000000000027</v>
      </c>
      <c r="E12" s="38">
        <v>0.25</v>
      </c>
      <c r="F12" s="38">
        <v>0.24</v>
      </c>
      <c r="G12" s="39">
        <f>IF(OR(E12="",F12=""),"",(E12-F12)*100)</f>
        <v>1.0000000000000009</v>
      </c>
    </row>
    <row r="14" spans="1:8" ht="30" customHeight="1" x14ac:dyDescent="0.25">
      <c r="A14" s="25" t="s">
        <v>106</v>
      </c>
      <c r="B14" s="25" t="s">
        <v>107</v>
      </c>
      <c r="C14" s="25" t="s">
        <v>108</v>
      </c>
      <c r="D14" s="25" t="s">
        <v>109</v>
      </c>
      <c r="E14" s="25" t="s">
        <v>110</v>
      </c>
      <c r="F14" s="25" t="s">
        <v>111</v>
      </c>
      <c r="G14" s="25" t="s">
        <v>112</v>
      </c>
      <c r="H14" s="25" t="s">
        <v>113</v>
      </c>
    </row>
    <row r="15" spans="1:8" x14ac:dyDescent="0.25">
      <c r="A15" s="32">
        <v>1</v>
      </c>
      <c r="B15" s="30" t="s">
        <v>114</v>
      </c>
      <c r="C15" s="40">
        <v>9968.1659999999993</v>
      </c>
      <c r="D15" s="40">
        <v>7958.8</v>
      </c>
      <c r="E15" s="28">
        <f t="shared" ref="E15:E27" si="0">IF(OR(C15="",D15=""),"",IF(D15=0,"n.a.",C15/D15-1))</f>
        <v>0.25247097552394826</v>
      </c>
      <c r="F15" s="38">
        <v>0.251</v>
      </c>
      <c r="G15" s="41">
        <f t="shared" ref="G15:G26" si="1">IF(A15&lt;=$B$4,C15,"")</f>
        <v>9968.1659999999993</v>
      </c>
      <c r="H15" s="41">
        <f t="shared" ref="H15:H26" si="2">D15</f>
        <v>7958.8</v>
      </c>
    </row>
    <row r="16" spans="1:8" x14ac:dyDescent="0.25">
      <c r="A16" s="32">
        <v>2</v>
      </c>
      <c r="B16" s="30" t="s">
        <v>115</v>
      </c>
      <c r="C16" s="40">
        <v>12767.714</v>
      </c>
      <c r="D16" s="40">
        <v>10536.7</v>
      </c>
      <c r="E16" s="28">
        <f t="shared" si="0"/>
        <v>0.21173745100458397</v>
      </c>
      <c r="F16" s="38">
        <v>0.254</v>
      </c>
      <c r="G16" s="41">
        <f t="shared" si="1"/>
        <v>12767.714</v>
      </c>
      <c r="H16" s="41">
        <f t="shared" si="2"/>
        <v>10536.7</v>
      </c>
    </row>
    <row r="17" spans="1:8" x14ac:dyDescent="0.25">
      <c r="A17" s="32">
        <v>3</v>
      </c>
      <c r="B17" s="30" t="s">
        <v>116</v>
      </c>
      <c r="C17" s="40">
        <v>14462.924999999999</v>
      </c>
      <c r="D17" s="40">
        <v>12471.2</v>
      </c>
      <c r="E17" s="28">
        <f t="shared" si="0"/>
        <v>0.15970596253768665</v>
      </c>
      <c r="F17" s="38">
        <v>0.26100000000000001</v>
      </c>
      <c r="G17" s="41">
        <f t="shared" si="1"/>
        <v>14462.924999999999</v>
      </c>
      <c r="H17" s="41">
        <f t="shared" si="2"/>
        <v>12471.2</v>
      </c>
    </row>
    <row r="18" spans="1:8" x14ac:dyDescent="0.25">
      <c r="A18" s="32">
        <v>4</v>
      </c>
      <c r="B18" s="30" t="s">
        <v>117</v>
      </c>
      <c r="C18" s="40">
        <v>12270.448</v>
      </c>
      <c r="D18" s="40">
        <v>9577</v>
      </c>
      <c r="E18" s="28">
        <f t="shared" si="0"/>
        <v>0.28124130729873653</v>
      </c>
      <c r="F18" s="38">
        <v>0.25700000000000001</v>
      </c>
      <c r="G18" s="41">
        <f t="shared" si="1"/>
        <v>12270.448</v>
      </c>
      <c r="H18" s="41">
        <f t="shared" si="2"/>
        <v>9577</v>
      </c>
    </row>
    <row r="19" spans="1:8" x14ac:dyDescent="0.25">
      <c r="A19" s="32">
        <v>5</v>
      </c>
      <c r="B19" s="30" t="s">
        <v>118</v>
      </c>
      <c r="C19" s="40">
        <v>27093.858</v>
      </c>
      <c r="D19" s="40">
        <v>8092</v>
      </c>
      <c r="E19" s="28">
        <f t="shared" si="0"/>
        <v>2.3482276322293623</v>
      </c>
      <c r="F19" s="38">
        <v>0.20899999999999999</v>
      </c>
      <c r="G19" s="41">
        <f t="shared" si="1"/>
        <v>27093.858</v>
      </c>
      <c r="H19" s="41">
        <f t="shared" si="2"/>
        <v>8092</v>
      </c>
    </row>
    <row r="20" spans="1:8" x14ac:dyDescent="0.25">
      <c r="A20" s="32">
        <v>6</v>
      </c>
      <c r="B20" s="30" t="s">
        <v>119</v>
      </c>
      <c r="C20" s="40">
        <v>13652.194</v>
      </c>
      <c r="D20" s="40">
        <v>11810.8</v>
      </c>
      <c r="E20" s="28">
        <f t="shared" si="0"/>
        <v>0.15590764385139022</v>
      </c>
      <c r="F20" s="38">
        <v>0.28499999999999998</v>
      </c>
      <c r="G20" s="41">
        <f t="shared" si="1"/>
        <v>13652.194</v>
      </c>
      <c r="H20" s="41">
        <f t="shared" si="2"/>
        <v>11810.8</v>
      </c>
    </row>
    <row r="21" spans="1:8" x14ac:dyDescent="0.25">
      <c r="A21" s="32">
        <v>7</v>
      </c>
      <c r="B21" s="30" t="s">
        <v>120</v>
      </c>
      <c r="C21" s="40">
        <v>11718.909</v>
      </c>
      <c r="D21" s="40">
        <v>7612.5</v>
      </c>
      <c r="E21" s="28">
        <f t="shared" si="0"/>
        <v>0.53942975369458113</v>
      </c>
      <c r="F21" s="38">
        <v>0.27300000000000002</v>
      </c>
      <c r="G21" s="41">
        <f t="shared" si="1"/>
        <v>11718.909</v>
      </c>
      <c r="H21" s="41">
        <f t="shared" si="2"/>
        <v>7612.5</v>
      </c>
    </row>
    <row r="22" spans="1:8" x14ac:dyDescent="0.25">
      <c r="A22" s="32">
        <v>8</v>
      </c>
      <c r="B22" s="30" t="s">
        <v>121</v>
      </c>
      <c r="C22" s="40">
        <v>14500.72</v>
      </c>
      <c r="D22" s="40">
        <v>16772.599999999999</v>
      </c>
      <c r="E22" s="28">
        <f t="shared" si="0"/>
        <v>-0.13545186792745312</v>
      </c>
      <c r="F22" s="38">
        <v>0.26800000000000002</v>
      </c>
      <c r="G22" s="41">
        <f t="shared" si="1"/>
        <v>14500.72</v>
      </c>
      <c r="H22" s="41">
        <f t="shared" si="2"/>
        <v>16772.599999999999</v>
      </c>
    </row>
    <row r="23" spans="1:8" x14ac:dyDescent="0.25">
      <c r="A23" s="32">
        <v>9</v>
      </c>
      <c r="B23" s="30" t="s">
        <v>122</v>
      </c>
      <c r="C23" s="40">
        <v>13740.67</v>
      </c>
      <c r="D23" s="40">
        <v>10673.6</v>
      </c>
      <c r="E23" s="28">
        <f t="shared" si="0"/>
        <v>0.28735103432768705</v>
      </c>
      <c r="F23" s="38">
        <v>0.27100000000000002</v>
      </c>
      <c r="G23" s="41">
        <f t="shared" si="1"/>
        <v>13740.67</v>
      </c>
      <c r="H23" s="41">
        <f t="shared" si="2"/>
        <v>10673.6</v>
      </c>
    </row>
    <row r="24" spans="1:8" x14ac:dyDescent="0.25">
      <c r="A24" s="32">
        <v>10</v>
      </c>
      <c r="B24" s="30" t="s">
        <v>123</v>
      </c>
      <c r="C24" s="40">
        <v>14484</v>
      </c>
      <c r="D24" s="40">
        <v>12723.1</v>
      </c>
      <c r="E24" s="28">
        <f t="shared" si="0"/>
        <v>0.13840180459164819</v>
      </c>
      <c r="F24" s="38"/>
      <c r="G24" s="41" t="str">
        <f t="shared" si="1"/>
        <v/>
      </c>
      <c r="H24" s="41">
        <f t="shared" si="2"/>
        <v>12723.1</v>
      </c>
    </row>
    <row r="25" spans="1:8" x14ac:dyDescent="0.25">
      <c r="A25" s="32">
        <v>11</v>
      </c>
      <c r="B25" s="30" t="s">
        <v>124</v>
      </c>
      <c r="C25" s="40"/>
      <c r="D25" s="40">
        <v>12445.1</v>
      </c>
      <c r="E25" s="28" t="str">
        <f t="shared" si="0"/>
        <v/>
      </c>
      <c r="F25" s="38"/>
      <c r="G25" s="41" t="str">
        <f t="shared" si="1"/>
        <v/>
      </c>
      <c r="H25" s="41">
        <f t="shared" si="2"/>
        <v>12445.1</v>
      </c>
    </row>
    <row r="26" spans="1:8" x14ac:dyDescent="0.25">
      <c r="A26" s="32">
        <v>12</v>
      </c>
      <c r="B26" s="30" t="s">
        <v>125</v>
      </c>
      <c r="C26" s="40"/>
      <c r="D26" s="40">
        <v>10462.4</v>
      </c>
      <c r="E26" s="28" t="str">
        <f t="shared" si="0"/>
        <v/>
      </c>
      <c r="F26" s="38"/>
      <c r="G26" s="41" t="str">
        <f t="shared" si="1"/>
        <v/>
      </c>
      <c r="H26" s="41">
        <f t="shared" si="2"/>
        <v>10462.4</v>
      </c>
    </row>
    <row r="27" spans="1:8" x14ac:dyDescent="0.25">
      <c r="B27" s="33" t="s">
        <v>98</v>
      </c>
      <c r="C27" s="42">
        <f>SUMIFS(C15:C26,A15:A26,"&lt;="&amp;$B$4)</f>
        <v>130175.60400000001</v>
      </c>
      <c r="D27" s="42">
        <f>SUMIFS(D15:D26,A15:A26,"&lt;="&amp;$B$4)</f>
        <v>95505.200000000012</v>
      </c>
      <c r="E27" s="35">
        <f t="shared" si="0"/>
        <v>0.36302111298651796</v>
      </c>
    </row>
    <row r="28" spans="1:8" x14ac:dyDescent="0.25">
      <c r="B28" s="26" t="s">
        <v>126</v>
      </c>
      <c r="C28" s="43">
        <f>C27-E11</f>
        <v>-14483.395999999993</v>
      </c>
    </row>
  </sheetData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61530"/>
  </sheetPr>
  <dimension ref="A1:L14"/>
  <sheetViews>
    <sheetView showGridLines="0" zoomScaleNormal="100" workbookViewId="0">
      <selection activeCell="G38" sqref="G38"/>
    </sheetView>
  </sheetViews>
  <sheetFormatPr baseColWidth="10" defaultColWidth="8.7109375" defaultRowHeight="15" x14ac:dyDescent="0.25"/>
  <cols>
    <col min="1" max="1" width="22" customWidth="1"/>
    <col min="2" max="2" width="14" customWidth="1"/>
    <col min="3" max="3" width="13" customWidth="1"/>
    <col min="4" max="7" width="10" customWidth="1"/>
    <col min="8" max="8" width="15" customWidth="1"/>
    <col min="9" max="9" width="10" customWidth="1"/>
    <col min="10" max="11" width="14" customWidth="1"/>
    <col min="12" max="12" width="12" customWidth="1"/>
  </cols>
  <sheetData>
    <row r="1" spans="1:12" ht="18" customHeight="1" x14ac:dyDescent="0.25">
      <c r="A1" s="2" t="s">
        <v>127</v>
      </c>
    </row>
    <row r="2" spans="1:12" x14ac:dyDescent="0.25">
      <c r="A2" s="24" t="s">
        <v>128</v>
      </c>
      <c r="G2">
        <v>157039</v>
      </c>
      <c r="H2">
        <v>160547</v>
      </c>
      <c r="I2" cm="1">
        <f t="array" ref="I2:I3">H2-G1:G2</f>
        <v>160547</v>
      </c>
    </row>
    <row r="3" spans="1:12" x14ac:dyDescent="0.25">
      <c r="I3">
        <v>3508</v>
      </c>
    </row>
    <row r="4" spans="1:12" ht="30" customHeight="1" x14ac:dyDescent="0.25">
      <c r="A4" s="25" t="s">
        <v>84</v>
      </c>
      <c r="B4" s="25" t="s">
        <v>129</v>
      </c>
      <c r="C4" s="25" t="s">
        <v>130</v>
      </c>
      <c r="D4" s="25" t="s">
        <v>59</v>
      </c>
      <c r="E4" s="25" t="s">
        <v>131</v>
      </c>
      <c r="F4" s="25" t="s">
        <v>132</v>
      </c>
      <c r="G4" s="25" t="s">
        <v>133</v>
      </c>
      <c r="H4" s="25" t="s">
        <v>134</v>
      </c>
      <c r="I4" s="25" t="s">
        <v>135</v>
      </c>
      <c r="J4" s="25" t="s">
        <v>136</v>
      </c>
      <c r="K4" s="25" t="s">
        <v>137</v>
      </c>
      <c r="L4" s="25" t="s">
        <v>138</v>
      </c>
    </row>
    <row r="5" spans="1:12" x14ac:dyDescent="0.25">
      <c r="A5" s="26" t="s">
        <v>68</v>
      </c>
      <c r="B5" s="95">
        <f>62296-13276+3508</f>
        <v>52528</v>
      </c>
      <c r="C5" s="27">
        <v>40646</v>
      </c>
      <c r="D5" s="28">
        <f t="shared" ref="D5:D11" si="0">IF(OR(B5="",C5=""),"",IF(C5=0,"n.a.",B5/C5-1))</f>
        <v>0.29232888845150806</v>
      </c>
      <c r="E5" s="38">
        <v>0.33074809874095601</v>
      </c>
      <c r="F5" s="38">
        <v>0.28692082751703302</v>
      </c>
      <c r="G5" s="39">
        <f t="shared" ref="G5:G11" si="1">IF(OR(E5="",F5=""),"",(E5-F5)*100)</f>
        <v>4.382727122392299</v>
      </c>
      <c r="H5" s="44">
        <f>'09_RSM_Industrial'!C18</f>
        <v>430568</v>
      </c>
      <c r="I5" s="28">
        <f t="shared" ref="I5:I10" si="2">IFERROR(H5/$H$11,0)</f>
        <v>0.3392639332326865</v>
      </c>
      <c r="J5" s="44">
        <f>'09_RSM_Industrial'!D18</f>
        <v>339588</v>
      </c>
      <c r="K5" s="44">
        <f>'09_RSM_Industrial'!E18</f>
        <v>443901.875</v>
      </c>
      <c r="L5" s="45">
        <f t="shared" ref="L5:L11" si="3">IFERROR(J5/K5,0)</f>
        <v>0.76500690608707156</v>
      </c>
    </row>
    <row r="6" spans="1:12" x14ac:dyDescent="0.25">
      <c r="A6" s="26" t="s">
        <v>139</v>
      </c>
      <c r="B6" s="27">
        <v>29274</v>
      </c>
      <c r="C6" s="27">
        <v>53212</v>
      </c>
      <c r="D6" s="28">
        <f t="shared" si="0"/>
        <v>-0.4498609336239946</v>
      </c>
      <c r="E6" s="38">
        <v>0.33074809874095601</v>
      </c>
      <c r="F6" s="38">
        <v>0.270100403669289</v>
      </c>
      <c r="G6" s="39">
        <f t="shared" si="1"/>
        <v>6.0647695071667007</v>
      </c>
      <c r="H6" s="44">
        <f>'10_RSM_Distribucion'!C20</f>
        <v>236351</v>
      </c>
      <c r="I6" s="28">
        <f t="shared" si="2"/>
        <v>0.18623160542232281</v>
      </c>
      <c r="J6" s="44">
        <f>'10_RSM_Distribucion'!D20</f>
        <v>227016</v>
      </c>
      <c r="K6" s="44">
        <f>'10_RSM_Distribucion'!E20</f>
        <v>248524</v>
      </c>
      <c r="L6" s="45">
        <f t="shared" si="3"/>
        <v>0.91345705042571346</v>
      </c>
    </row>
    <row r="7" spans="1:12" x14ac:dyDescent="0.25">
      <c r="A7" s="26" t="s">
        <v>140</v>
      </c>
      <c r="B7" s="27">
        <v>55560</v>
      </c>
      <c r="C7" s="27">
        <v>36701</v>
      </c>
      <c r="D7" s="28">
        <f t="shared" si="0"/>
        <v>0.51385520830495079</v>
      </c>
      <c r="E7" s="38">
        <v>0.160217415516132</v>
      </c>
      <c r="F7" s="38">
        <v>0.104274012878321</v>
      </c>
      <c r="G7" s="39">
        <f t="shared" si="1"/>
        <v>5.5943402637810999</v>
      </c>
      <c r="H7" s="44">
        <f>'11_RSM_Otras_Geo'!C20</f>
        <v>367237</v>
      </c>
      <c r="I7" s="28">
        <f t="shared" si="2"/>
        <v>0.28936258395554731</v>
      </c>
      <c r="J7" s="44">
        <f>'11_RSM_Otras_Geo'!D20</f>
        <v>306076</v>
      </c>
      <c r="K7" s="44">
        <f>'11_RSM_Otras_Geo'!E20</f>
        <v>388113</v>
      </c>
      <c r="L7" s="45">
        <f t="shared" si="3"/>
        <v>0.78862599294535352</v>
      </c>
    </row>
    <row r="8" spans="1:12" x14ac:dyDescent="0.25">
      <c r="A8" s="26" t="s">
        <v>90</v>
      </c>
      <c r="B8" s="27">
        <v>10911</v>
      </c>
      <c r="C8" s="27">
        <v>0</v>
      </c>
      <c r="D8" s="46" t="str">
        <f t="shared" si="0"/>
        <v>n.a.</v>
      </c>
      <c r="E8" s="38">
        <v>0.28710516766549099</v>
      </c>
      <c r="F8" s="38">
        <v>0.386802424242424</v>
      </c>
      <c r="G8" s="39">
        <f t="shared" si="1"/>
        <v>-9.9697256576933011</v>
      </c>
      <c r="H8" s="44">
        <f>'12_RSM_Cold_Storage'!C20</f>
        <v>36425</v>
      </c>
      <c r="I8" s="28">
        <f t="shared" si="2"/>
        <v>2.8700899202914767E-2</v>
      </c>
      <c r="J8" s="44">
        <f>'12_RSM_Cold_Storage'!D20</f>
        <v>9191</v>
      </c>
      <c r="K8" s="44">
        <f>'12_RSM_Cold_Storage'!E20</f>
        <v>10000</v>
      </c>
      <c r="L8" s="45">
        <f t="shared" si="3"/>
        <v>0.91910000000000003</v>
      </c>
    </row>
    <row r="9" spans="1:12" x14ac:dyDescent="0.25">
      <c r="A9" s="26" t="s">
        <v>141</v>
      </c>
      <c r="B9" s="27">
        <v>6625</v>
      </c>
      <c r="C9" s="27">
        <v>0</v>
      </c>
      <c r="D9" s="46" t="str">
        <f t="shared" si="0"/>
        <v>n.a.</v>
      </c>
      <c r="E9" s="38">
        <v>0.35059274788396599</v>
      </c>
      <c r="F9" s="38">
        <v>0</v>
      </c>
      <c r="G9" s="39">
        <f t="shared" si="1"/>
        <v>35.0592747883966</v>
      </c>
      <c r="H9" s="44">
        <f>'13_RSM_Site_Cali'!C20</f>
        <v>140132</v>
      </c>
      <c r="I9" s="28">
        <f t="shared" si="2"/>
        <v>0.11041631865759374</v>
      </c>
      <c r="J9" s="44">
        <f>'13_RSM_Site_Cali'!D20</f>
        <v>106715</v>
      </c>
      <c r="K9" s="44">
        <f>'13_RSM_Site_Cali'!E20</f>
        <v>111456</v>
      </c>
      <c r="L9" s="45">
        <f t="shared" si="3"/>
        <v>0.95746303474016647</v>
      </c>
    </row>
    <row r="10" spans="1:12" x14ac:dyDescent="0.25">
      <c r="A10" s="26" t="s">
        <v>142</v>
      </c>
      <c r="B10" s="27">
        <v>5649</v>
      </c>
      <c r="C10" s="27">
        <v>2669</v>
      </c>
      <c r="D10" s="28">
        <f t="shared" si="0"/>
        <v>1.1165230423379544</v>
      </c>
      <c r="E10" s="38">
        <v>0.41498837365506203</v>
      </c>
      <c r="F10" s="38">
        <v>0.36956933853474</v>
      </c>
      <c r="G10" s="39">
        <f t="shared" si="1"/>
        <v>4.5419035120322029</v>
      </c>
      <c r="H10" s="44">
        <f>'14_RSM_Vtas_Alt'!C20</f>
        <v>58411</v>
      </c>
      <c r="I10" s="28">
        <f t="shared" si="2"/>
        <v>4.6024659528934919E-2</v>
      </c>
      <c r="J10" s="44">
        <f>'14_RSM_Vtas_Alt'!D20</f>
        <v>69430</v>
      </c>
      <c r="K10" s="44">
        <f>'14_RSM_Vtas_Alt'!E20</f>
        <v>45368</v>
      </c>
      <c r="L10" s="45">
        <f t="shared" si="3"/>
        <v>1.530373831775701</v>
      </c>
    </row>
    <row r="11" spans="1:12" x14ac:dyDescent="0.25">
      <c r="A11" s="33" t="s">
        <v>143</v>
      </c>
      <c r="B11" s="34">
        <f>IF(COUNT(B5:B10)=0,"",SUM(B5:B10))</f>
        <v>160547</v>
      </c>
      <c r="C11" s="34">
        <f>IF(COUNT(C5:C10)=0,"",SUM(C5:C10))</f>
        <v>133228</v>
      </c>
      <c r="D11" s="35">
        <f t="shared" si="0"/>
        <v>0.20505449304950907</v>
      </c>
      <c r="E11" s="38"/>
      <c r="F11" s="38"/>
      <c r="G11" s="47" t="str">
        <f t="shared" si="1"/>
        <v/>
      </c>
      <c r="H11" s="34">
        <f>IF(COUNT(H5:H10)=0,"",SUM(H5:H10))</f>
        <v>1269124</v>
      </c>
      <c r="I11" s="35">
        <f>SUM(I5:I10)</f>
        <v>1</v>
      </c>
      <c r="J11" s="34">
        <f>IF(COUNT(J5:J10)=0,"",SUM(J5:J10))</f>
        <v>1058016</v>
      </c>
      <c r="K11" s="34">
        <f>IF(COUNT(K5:K10)=0,"",SUM(K5:K10))</f>
        <v>1247362.875</v>
      </c>
      <c r="L11" s="48">
        <f t="shared" si="3"/>
        <v>0.84820225229165969</v>
      </c>
    </row>
    <row r="12" spans="1:12" x14ac:dyDescent="0.25">
      <c r="A12" s="30" t="s">
        <v>144</v>
      </c>
      <c r="B12" s="49">
        <f>IF(B11="","Pendiente",B11-'02_OI'!B7)</f>
        <v>0</v>
      </c>
    </row>
    <row r="13" spans="1:12" x14ac:dyDescent="0.25">
      <c r="A13" s="30" t="s">
        <v>145</v>
      </c>
      <c r="C13">
        <v>114611</v>
      </c>
      <c r="H13" s="49">
        <f>H11-'02_OI'!E7</f>
        <v>-130964</v>
      </c>
    </row>
    <row r="14" spans="1:12" x14ac:dyDescent="0.25">
      <c r="C14" s="50">
        <f>+C13-C11</f>
        <v>-18617</v>
      </c>
    </row>
  </sheetData>
  <conditionalFormatting sqref="L5:L11">
    <cfRule type="cellIs" dxfId="52" priority="2" operator="greaterThanOrEqual">
      <formula>1</formula>
    </cfRule>
    <cfRule type="cellIs" dxfId="51" priority="3" operator="between">
      <formula>0.7</formula>
      <formula>0.9999</formula>
    </cfRule>
    <cfRule type="cellIs" dxfId="50" priority="4" operator="lessThan">
      <formula>0.7</formula>
    </cfRule>
  </conditionalFormatting>
  <pageMargins left="0.75" right="0.75" top="1" bottom="1" header="0.511811023622047" footer="0.511811023622047"/>
  <pageSetup paperSize="9" orientation="portrait" horizontalDpi="300" verticalDpi="30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61530"/>
  </sheetPr>
  <dimension ref="A1:F25"/>
  <sheetViews>
    <sheetView showGridLines="0" zoomScaleNormal="100" workbookViewId="0">
      <selection activeCell="C23" sqref="C23"/>
    </sheetView>
  </sheetViews>
  <sheetFormatPr baseColWidth="10" defaultColWidth="8.7109375" defaultRowHeight="15" x14ac:dyDescent="0.25"/>
  <cols>
    <col min="1" max="1" width="30" customWidth="1"/>
    <col min="2" max="2" width="13" customWidth="1"/>
    <col min="3" max="4" width="16" customWidth="1"/>
    <col min="5" max="6" width="13" customWidth="1"/>
  </cols>
  <sheetData>
    <row r="1" spans="1:6" ht="18" customHeight="1" x14ac:dyDescent="0.25">
      <c r="A1" s="2" t="s">
        <v>628</v>
      </c>
    </row>
    <row r="2" spans="1:6" x14ac:dyDescent="0.25">
      <c r="A2" s="24" t="s">
        <v>146</v>
      </c>
    </row>
    <row r="4" spans="1:6" ht="30" customHeight="1" x14ac:dyDescent="0.25">
      <c r="A4" s="25" t="s">
        <v>95</v>
      </c>
      <c r="B4" s="25" t="s">
        <v>96</v>
      </c>
      <c r="C4" s="25" t="s">
        <v>97</v>
      </c>
      <c r="D4" s="25" t="s">
        <v>147</v>
      </c>
      <c r="E4" s="25" t="s">
        <v>148</v>
      </c>
      <c r="F4" s="25" t="s">
        <v>149</v>
      </c>
    </row>
    <row r="5" spans="1:6" x14ac:dyDescent="0.25">
      <c r="A5" s="26" t="s">
        <v>100</v>
      </c>
      <c r="B5" s="27">
        <v>525529</v>
      </c>
      <c r="C5" s="27">
        <v>360246</v>
      </c>
      <c r="D5" s="28">
        <f>IF(OR(B5="",C5=""),"",IF(C5=0,"n.a.",B5/C5-1))</f>
        <v>0.4588059270609528</v>
      </c>
      <c r="E5" s="27">
        <v>364496</v>
      </c>
      <c r="F5" s="28">
        <f>IF(OR(B5="",E5=""),"",IF(E5=0,"n.a.",B5/E5-1))</f>
        <v>0.44179634344409813</v>
      </c>
    </row>
    <row r="6" spans="1:6" x14ac:dyDescent="0.25">
      <c r="A6" s="26" t="s">
        <v>101</v>
      </c>
      <c r="B6" s="27">
        <v>78432</v>
      </c>
      <c r="C6" s="27">
        <v>38588</v>
      </c>
      <c r="D6" s="28">
        <f>IF(OR(B6="",C6=""),"",IF(C6=0,"n.a.",B6/C6-1))</f>
        <v>1.0325489789571889</v>
      </c>
      <c r="E6" s="27">
        <v>22362</v>
      </c>
      <c r="F6" s="28">
        <f>IF(OR(B6="",E6=""),"",IF(E6=0,"n.a.",B6/E6-1))</f>
        <v>2.5073785886772204</v>
      </c>
    </row>
    <row r="7" spans="1:6" x14ac:dyDescent="0.25">
      <c r="A7" s="26" t="s">
        <v>102</v>
      </c>
      <c r="B7" s="27">
        <v>57196</v>
      </c>
      <c r="C7" s="27">
        <v>21370</v>
      </c>
      <c r="D7" s="28">
        <f>IF(OR(B7="",C7=""),"",IF(C7=0,"n.a.",B7/C7-1))</f>
        <v>1.6764623303696773</v>
      </c>
      <c r="E7" s="27">
        <v>21486</v>
      </c>
      <c r="F7" s="28">
        <f>IF(OR(B7="",E7=""),"",IF(E7=0,"n.a.",B7/E7-1))</f>
        <v>1.6620124732383879</v>
      </c>
    </row>
    <row r="8" spans="1:6" x14ac:dyDescent="0.25">
      <c r="A8" s="26" t="s">
        <v>103</v>
      </c>
      <c r="B8" s="27">
        <v>12167</v>
      </c>
      <c r="C8" s="27">
        <v>894</v>
      </c>
      <c r="D8" s="46">
        <f>IF(OR(B8="",C8=""),"",IF(C8=0,"n.a.",B8/C8-1))</f>
        <v>12.609619686800896</v>
      </c>
      <c r="E8" s="27">
        <v>349</v>
      </c>
      <c r="F8" s="28">
        <f>IF(OR(B8="",E8=""),"",IF(E8=0,"n.a.",B8/E8-1))</f>
        <v>33.862464183381086</v>
      </c>
    </row>
    <row r="9" spans="1:6" x14ac:dyDescent="0.25">
      <c r="A9" s="26" t="s">
        <v>104</v>
      </c>
      <c r="B9" s="27">
        <v>49836</v>
      </c>
      <c r="C9" s="27">
        <v>35225</v>
      </c>
      <c r="D9" s="28">
        <f>IF(OR(B9="",C9=""),"",IF(C9=0,"n.a.",B9/C9-1))</f>
        <v>0.41479063165365515</v>
      </c>
      <c r="E9" s="27">
        <v>35477</v>
      </c>
      <c r="F9" s="28">
        <f>IF(OR(B9="",E9=""),"",IF(E9=0,"n.a.",B9/E9-1))</f>
        <v>0.40474109986751983</v>
      </c>
    </row>
    <row r="10" spans="1:6" x14ac:dyDescent="0.25">
      <c r="A10" s="26" t="s">
        <v>150</v>
      </c>
      <c r="B10" s="38">
        <v>0.27300000000000002</v>
      </c>
      <c r="C10" s="38">
        <v>0.25</v>
      </c>
      <c r="D10" s="39">
        <f>(B10-C10)*100</f>
        <v>2.300000000000002</v>
      </c>
      <c r="E10" s="38">
        <v>0.25</v>
      </c>
      <c r="F10" s="39">
        <f>(B10-E10)*100</f>
        <v>2.300000000000002</v>
      </c>
    </row>
    <row r="11" spans="1:6" x14ac:dyDescent="0.25">
      <c r="A11" s="26" t="s">
        <v>151</v>
      </c>
      <c r="B11" s="38">
        <v>0.27700000000000002</v>
      </c>
      <c r="C11" s="38">
        <v>0.25</v>
      </c>
      <c r="D11" s="39">
        <f>(B11-C11)*100</f>
        <v>2.7000000000000024</v>
      </c>
      <c r="E11" s="38">
        <v>0.25</v>
      </c>
      <c r="F11" s="39">
        <f>(B11-E11)*100</f>
        <v>2.7000000000000024</v>
      </c>
    </row>
    <row r="13" spans="1:6" ht="30" customHeight="1" x14ac:dyDescent="0.25">
      <c r="A13" s="25" t="s">
        <v>106</v>
      </c>
      <c r="B13" s="25" t="s">
        <v>107</v>
      </c>
      <c r="C13" s="25" t="s">
        <v>152</v>
      </c>
      <c r="D13" s="25" t="s">
        <v>153</v>
      </c>
      <c r="E13" s="25" t="s">
        <v>110</v>
      </c>
      <c r="F13" s="25" t="s">
        <v>111</v>
      </c>
    </row>
    <row r="14" spans="1:6" x14ac:dyDescent="0.25">
      <c r="A14" s="32">
        <v>1</v>
      </c>
      <c r="B14" s="30" t="s">
        <v>114</v>
      </c>
      <c r="C14" s="40">
        <v>35566.1</v>
      </c>
      <c r="D14" s="40">
        <v>30422.1</v>
      </c>
      <c r="E14" s="28">
        <f t="shared" ref="E14:E25" si="0">IF(OR(C14="",D14=""),"",IF(D14=0,"n.a.",C14/D14-1))</f>
        <v>0.16908760407729906</v>
      </c>
      <c r="F14" s="38">
        <v>0.251</v>
      </c>
    </row>
    <row r="15" spans="1:6" x14ac:dyDescent="0.25">
      <c r="A15" s="32">
        <v>2</v>
      </c>
      <c r="B15" s="30" t="s">
        <v>115</v>
      </c>
      <c r="C15" s="40">
        <v>36104.5</v>
      </c>
      <c r="D15" s="40">
        <v>31461.599999999999</v>
      </c>
      <c r="E15" s="28">
        <f t="shared" si="0"/>
        <v>0.14757354997838634</v>
      </c>
      <c r="F15" s="38">
        <v>0.254</v>
      </c>
    </row>
    <row r="16" spans="1:6" x14ac:dyDescent="0.25">
      <c r="A16" s="32">
        <v>3</v>
      </c>
      <c r="B16" s="30" t="s">
        <v>116</v>
      </c>
      <c r="C16" s="40">
        <v>39420.9</v>
      </c>
      <c r="D16" s="40">
        <v>36223.699999999997</v>
      </c>
      <c r="E16" s="28">
        <f t="shared" si="0"/>
        <v>8.8262656768911096E-2</v>
      </c>
      <c r="F16" s="38">
        <v>0.25900000000000001</v>
      </c>
    </row>
    <row r="17" spans="1:6" x14ac:dyDescent="0.25">
      <c r="A17" s="32">
        <v>4</v>
      </c>
      <c r="B17" s="30" t="s">
        <v>117</v>
      </c>
      <c r="C17" s="40">
        <v>38886.800000000003</v>
      </c>
      <c r="D17" s="40">
        <v>34454.1</v>
      </c>
      <c r="E17" s="28">
        <f t="shared" si="0"/>
        <v>0.12865522535779506</v>
      </c>
      <c r="F17" s="38">
        <v>0.253</v>
      </c>
    </row>
    <row r="18" spans="1:6" x14ac:dyDescent="0.25">
      <c r="A18" s="32">
        <v>5</v>
      </c>
      <c r="B18" s="30" t="s">
        <v>118</v>
      </c>
      <c r="C18" s="40">
        <v>55927.6</v>
      </c>
      <c r="D18" s="40">
        <v>31842.799999999999</v>
      </c>
      <c r="E18" s="28">
        <f t="shared" si="0"/>
        <v>0.75636564623713998</v>
      </c>
      <c r="F18" s="38">
        <v>0.22600000000000001</v>
      </c>
    </row>
    <row r="19" spans="1:6" x14ac:dyDescent="0.25">
      <c r="A19" s="32">
        <v>6</v>
      </c>
      <c r="B19" s="30" t="s">
        <v>119</v>
      </c>
      <c r="C19" s="40">
        <v>56477.9</v>
      </c>
      <c r="D19" s="40">
        <v>33251.199999999997</v>
      </c>
      <c r="E19" s="28">
        <f t="shared" si="0"/>
        <v>0.69852215859878752</v>
      </c>
      <c r="F19" s="38">
        <v>0.23899999999999999</v>
      </c>
    </row>
    <row r="20" spans="1:6" x14ac:dyDescent="0.25">
      <c r="A20" s="32">
        <v>7</v>
      </c>
      <c r="B20" s="30" t="s">
        <v>120</v>
      </c>
      <c r="C20" s="40">
        <v>57136.5</v>
      </c>
      <c r="D20" s="40">
        <v>30680.1</v>
      </c>
      <c r="E20" s="28">
        <f t="shared" si="0"/>
        <v>0.86233095720026998</v>
      </c>
      <c r="F20" s="38">
        <v>0.24099999999999999</v>
      </c>
    </row>
    <row r="21" spans="1:6" x14ac:dyDescent="0.25">
      <c r="A21" s="32">
        <v>8</v>
      </c>
      <c r="B21" s="30" t="s">
        <v>121</v>
      </c>
      <c r="C21" s="40">
        <v>51456.1</v>
      </c>
      <c r="D21" s="40">
        <v>34736.9</v>
      </c>
      <c r="E21" s="28">
        <f t="shared" si="0"/>
        <v>0.48130950084780144</v>
      </c>
      <c r="F21" s="38">
        <v>0.24099999999999999</v>
      </c>
    </row>
    <row r="22" spans="1:6" x14ac:dyDescent="0.25">
      <c r="A22" s="32">
        <v>9</v>
      </c>
      <c r="B22" s="30" t="s">
        <v>122</v>
      </c>
      <c r="C22" s="40">
        <v>50189</v>
      </c>
      <c r="D22" s="40">
        <v>33247.5</v>
      </c>
      <c r="E22" s="28">
        <f t="shared" si="0"/>
        <v>0.50955710955710964</v>
      </c>
      <c r="F22" s="38">
        <v>0.27300000000000002</v>
      </c>
    </row>
    <row r="23" spans="1:6" x14ac:dyDescent="0.25">
      <c r="A23" s="32">
        <v>10</v>
      </c>
      <c r="B23" s="30" t="s">
        <v>123</v>
      </c>
      <c r="C23" s="40">
        <v>49836</v>
      </c>
      <c r="D23" s="40">
        <v>35224.5</v>
      </c>
      <c r="E23" s="28">
        <f t="shared" si="0"/>
        <v>0.41481071413362858</v>
      </c>
      <c r="F23" s="38"/>
    </row>
    <row r="24" spans="1:6" x14ac:dyDescent="0.25">
      <c r="A24" s="32">
        <v>11</v>
      </c>
      <c r="B24" s="30" t="s">
        <v>124</v>
      </c>
      <c r="C24" s="40"/>
      <c r="D24" s="40">
        <v>34456</v>
      </c>
      <c r="E24" s="28" t="str">
        <f t="shared" si="0"/>
        <v/>
      </c>
      <c r="F24" s="38"/>
    </row>
    <row r="25" spans="1:6" x14ac:dyDescent="0.25">
      <c r="A25" s="32">
        <v>12</v>
      </c>
      <c r="B25" s="30" t="s">
        <v>125</v>
      </c>
      <c r="C25" s="40"/>
      <c r="D25" s="40">
        <v>35476.9</v>
      </c>
      <c r="E25" s="28" t="str">
        <f t="shared" si="0"/>
        <v/>
      </c>
      <c r="F25" s="38"/>
    </row>
  </sheetData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61530"/>
  </sheetPr>
  <dimension ref="A1:J12"/>
  <sheetViews>
    <sheetView showGridLines="0" zoomScaleNormal="100" workbookViewId="0">
      <selection activeCell="F36" sqref="F36"/>
    </sheetView>
  </sheetViews>
  <sheetFormatPr baseColWidth="10" defaultColWidth="8.7109375" defaultRowHeight="15" x14ac:dyDescent="0.25"/>
  <cols>
    <col min="1" max="1" width="22" customWidth="1"/>
    <col min="2" max="2" width="18" customWidth="1"/>
    <col min="3" max="3" width="14" customWidth="1"/>
    <col min="4" max="8" width="10" customWidth="1"/>
    <col min="9" max="9" width="14" customWidth="1"/>
    <col min="10" max="10" width="13" customWidth="1"/>
  </cols>
  <sheetData>
    <row r="1" spans="1:10" ht="18" customHeight="1" x14ac:dyDescent="0.25">
      <c r="A1" s="2" t="s">
        <v>154</v>
      </c>
    </row>
    <row r="2" spans="1:10" x14ac:dyDescent="0.25">
      <c r="A2" s="24" t="s">
        <v>155</v>
      </c>
      <c r="F2">
        <v>537065</v>
      </c>
      <c r="G2">
        <v>525529</v>
      </c>
      <c r="H2">
        <f>F2-G2</f>
        <v>11536</v>
      </c>
    </row>
    <row r="4" spans="1:10" ht="30" customHeight="1" x14ac:dyDescent="0.25">
      <c r="A4" s="25" t="s">
        <v>84</v>
      </c>
      <c r="B4" s="25" t="s">
        <v>156</v>
      </c>
      <c r="C4" s="25" t="s">
        <v>157</v>
      </c>
      <c r="D4" s="25" t="s">
        <v>110</v>
      </c>
      <c r="E4" s="25" t="s">
        <v>131</v>
      </c>
      <c r="F4" s="25" t="s">
        <v>132</v>
      </c>
      <c r="G4" s="25" t="s">
        <v>133</v>
      </c>
      <c r="H4" s="25" t="s">
        <v>67</v>
      </c>
      <c r="I4" s="25" t="s">
        <v>158</v>
      </c>
      <c r="J4" s="25" t="s">
        <v>159</v>
      </c>
    </row>
    <row r="5" spans="1:10" x14ac:dyDescent="0.25">
      <c r="A5" s="26" t="s">
        <v>68</v>
      </c>
      <c r="B5" s="49">
        <f>251984-11536</f>
        <v>240448</v>
      </c>
      <c r="C5" s="27">
        <v>170762.18793748299</v>
      </c>
      <c r="D5" s="28">
        <f t="shared" ref="D5:D11" si="0">IF(OR(B5="",C5=""),"",IF(C5=0,"n.a.",B5/C5-1))</f>
        <v>0.40808690087778321</v>
      </c>
      <c r="E5" s="38">
        <v>0.33117135762133998</v>
      </c>
      <c r="F5" s="38">
        <v>0.28692082751703302</v>
      </c>
      <c r="G5" s="39">
        <f t="shared" ref="G5:G11" si="1">IF(OR(E5="",F5=""),"",(E5-F5)*100)</f>
        <v>4.4250530104306964</v>
      </c>
      <c r="H5" s="28">
        <f t="shared" ref="H5:H10" si="2">IFERROR(B5/$B$11,0)</f>
        <v>0.4575351693246234</v>
      </c>
      <c r="I5" s="44">
        <f>'09_RSM_Industrial'!H18</f>
        <v>210755</v>
      </c>
      <c r="J5" s="44">
        <f>'09_RSM_Industrial'!I18</f>
        <v>1913</v>
      </c>
    </row>
    <row r="6" spans="1:10" x14ac:dyDescent="0.25">
      <c r="A6" s="26" t="s">
        <v>139</v>
      </c>
      <c r="B6" s="49">
        <v>62499</v>
      </c>
      <c r="C6" s="27">
        <v>50628.624766689303</v>
      </c>
      <c r="D6" s="28">
        <f t="shared" si="0"/>
        <v>0.23445976042234351</v>
      </c>
      <c r="E6" s="38">
        <v>0.29966955928374001</v>
      </c>
      <c r="F6" s="38">
        <v>0.270100403669289</v>
      </c>
      <c r="G6" s="39">
        <f t="shared" si="1"/>
        <v>2.9569155614451006</v>
      </c>
      <c r="H6" s="28">
        <f t="shared" si="2"/>
        <v>0.11892588230145244</v>
      </c>
      <c r="I6" s="44">
        <f>'10_RSM_Distribucion'!H20</f>
        <v>62537</v>
      </c>
      <c r="J6" s="44">
        <f>'10_RSM_Distribucion'!I20</f>
        <v>1979</v>
      </c>
    </row>
    <row r="7" spans="1:10" x14ac:dyDescent="0.25">
      <c r="A7" s="26" t="s">
        <v>140</v>
      </c>
      <c r="B7" s="49">
        <v>166377</v>
      </c>
      <c r="C7" s="27">
        <v>121006.418528783</v>
      </c>
      <c r="D7" s="28">
        <f t="shared" si="0"/>
        <v>0.37494359409063072</v>
      </c>
      <c r="E7" s="38">
        <v>0.14624363476804</v>
      </c>
      <c r="F7" s="38">
        <v>0.104274012878321</v>
      </c>
      <c r="G7" s="39">
        <f t="shared" si="1"/>
        <v>4.1969621889719004</v>
      </c>
      <c r="H7" s="28">
        <f t="shared" si="2"/>
        <v>0.31658956974781599</v>
      </c>
      <c r="I7" s="44">
        <f>'11_RSM_Otras_Geo'!H20</f>
        <v>136132</v>
      </c>
      <c r="J7" s="44">
        <f>'11_RSM_Otras_Geo'!I20</f>
        <v>580</v>
      </c>
    </row>
    <row r="8" spans="1:10" x14ac:dyDescent="0.25">
      <c r="A8" s="26" t="s">
        <v>90</v>
      </c>
      <c r="B8" s="49">
        <v>28642</v>
      </c>
      <c r="C8" s="27">
        <v>1127.05091697786</v>
      </c>
      <c r="D8" s="28">
        <f t="shared" si="0"/>
        <v>24.413226295758072</v>
      </c>
      <c r="E8" s="38">
        <v>0.28058377005396101</v>
      </c>
      <c r="F8" s="38">
        <v>0.386802424242424</v>
      </c>
      <c r="G8" s="39">
        <f t="shared" si="1"/>
        <v>-10.6218654188463</v>
      </c>
      <c r="H8" s="28">
        <f t="shared" si="2"/>
        <v>5.4501273954434486E-2</v>
      </c>
      <c r="I8" s="44">
        <f>'12_RSM_Cold_Storage'!H20</f>
        <v>27233</v>
      </c>
      <c r="J8" s="44">
        <f>'12_RSM_Cold_Storage'!I20</f>
        <v>3202</v>
      </c>
    </row>
    <row r="9" spans="1:10" x14ac:dyDescent="0.25">
      <c r="A9" s="26" t="s">
        <v>141</v>
      </c>
      <c r="B9" s="49">
        <v>21774</v>
      </c>
      <c r="C9" s="27">
        <v>0</v>
      </c>
      <c r="D9" s="46" t="str">
        <f t="shared" si="0"/>
        <v>n.a.</v>
      </c>
      <c r="E9" s="38">
        <v>0.36773598338822699</v>
      </c>
      <c r="F9" s="38">
        <v>0</v>
      </c>
      <c r="G9" s="39">
        <f t="shared" si="1"/>
        <v>36.773598338822701</v>
      </c>
      <c r="H9" s="28">
        <f t="shared" si="2"/>
        <v>4.1432537500309209E-2</v>
      </c>
      <c r="I9" s="44">
        <f>'13_RSM_Site_Cali'!H20</f>
        <v>34419</v>
      </c>
      <c r="J9" s="44">
        <f>'13_RSM_Site_Cali'!I20</f>
        <v>14946</v>
      </c>
    </row>
    <row r="10" spans="1:10" x14ac:dyDescent="0.25">
      <c r="A10" s="26" t="s">
        <v>142</v>
      </c>
      <c r="B10" s="49">
        <v>5789</v>
      </c>
      <c r="C10" s="27">
        <v>4309.7178500663103</v>
      </c>
      <c r="D10" s="28">
        <f t="shared" si="0"/>
        <v>0.34324338655045117</v>
      </c>
      <c r="E10" s="38">
        <v>0.452758855596467</v>
      </c>
      <c r="F10" s="38">
        <v>0.36956933853474</v>
      </c>
      <c r="G10" s="39">
        <f t="shared" si="1"/>
        <v>8.318951706172701</v>
      </c>
      <c r="H10" s="28">
        <f t="shared" si="2"/>
        <v>1.1015567171364473E-2</v>
      </c>
      <c r="I10" s="44">
        <f>'14_RSM_Vtas_Alt'!H20</f>
        <v>6066</v>
      </c>
      <c r="J10" s="44">
        <f>'14_RSM_Vtas_Alt'!I20</f>
        <v>0</v>
      </c>
    </row>
    <row r="11" spans="1:10" x14ac:dyDescent="0.25">
      <c r="A11" s="33" t="s">
        <v>143</v>
      </c>
      <c r="B11" s="34">
        <f>SUM(B5:B10)</f>
        <v>525529</v>
      </c>
      <c r="C11" s="34">
        <f>IF(COUNT(C5:C10)=0,"",SUM(C5:C10))</f>
        <v>347833.99999999948</v>
      </c>
      <c r="D11" s="35">
        <f t="shared" si="0"/>
        <v>0.51086150290081123</v>
      </c>
      <c r="E11" s="38"/>
      <c r="F11" s="38"/>
      <c r="G11" s="47" t="str">
        <f t="shared" si="1"/>
        <v/>
      </c>
      <c r="H11" s="35">
        <f>SUM(H5:H10)</f>
        <v>0.99999999999999989</v>
      </c>
      <c r="I11" s="34">
        <f>SUM(I5:I10)</f>
        <v>477142</v>
      </c>
      <c r="J11" s="34">
        <f>SUM(J5:J10)</f>
        <v>22620</v>
      </c>
    </row>
    <row r="12" spans="1:10" x14ac:dyDescent="0.25">
      <c r="A12" s="30" t="s">
        <v>160</v>
      </c>
      <c r="B12" s="49">
        <f>B11-'04_Backlog'!B5</f>
        <v>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61530"/>
  </sheetPr>
  <dimension ref="A1:J32"/>
  <sheetViews>
    <sheetView showGridLines="0" tabSelected="1" zoomScaleNormal="100" workbookViewId="0">
      <selection activeCell="E16" sqref="E16"/>
    </sheetView>
  </sheetViews>
  <sheetFormatPr baseColWidth="10" defaultColWidth="8.7109375" defaultRowHeight="15" x14ac:dyDescent="0.25"/>
  <cols>
    <col min="1" max="1" width="28" customWidth="1"/>
    <col min="2" max="3" width="14" customWidth="1"/>
    <col min="4" max="4" width="11" customWidth="1"/>
    <col min="5" max="5" width="14" customWidth="1"/>
    <col min="6" max="7" width="16" customWidth="1"/>
    <col min="8" max="8" width="18" customWidth="1"/>
    <col min="9" max="10" width="16" customWidth="1"/>
  </cols>
  <sheetData>
    <row r="1" spans="1:10" ht="18" customHeight="1" x14ac:dyDescent="0.25">
      <c r="A1" s="2" t="s">
        <v>161</v>
      </c>
    </row>
    <row r="2" spans="1:10" x14ac:dyDescent="0.25">
      <c r="A2" s="24" t="s">
        <v>162</v>
      </c>
    </row>
    <row r="4" spans="1:10" x14ac:dyDescent="0.25">
      <c r="A4" s="26" t="s">
        <v>163</v>
      </c>
      <c r="B4" s="37">
        <v>9</v>
      </c>
    </row>
    <row r="6" spans="1:10" ht="30" customHeight="1" x14ac:dyDescent="0.25">
      <c r="A6" s="25" t="s">
        <v>106</v>
      </c>
      <c r="B6" s="25" t="s">
        <v>107</v>
      </c>
      <c r="C6" s="25" t="s">
        <v>164</v>
      </c>
      <c r="D6" s="25" t="s">
        <v>165</v>
      </c>
      <c r="E6" s="25" t="s">
        <v>166</v>
      </c>
      <c r="F6" s="25" t="s">
        <v>167</v>
      </c>
      <c r="G6" s="25" t="s">
        <v>168</v>
      </c>
      <c r="H6" s="25" t="s">
        <v>169</v>
      </c>
      <c r="I6" s="25" t="s">
        <v>170</v>
      </c>
      <c r="J6" s="25" t="s">
        <v>171</v>
      </c>
    </row>
    <row r="7" spans="1:10" x14ac:dyDescent="0.25">
      <c r="A7" s="32">
        <v>1</v>
      </c>
      <c r="B7" s="30" t="s">
        <v>114</v>
      </c>
      <c r="C7" s="30" t="str">
        <f t="shared" ref="C7:C18" si="0">"Q"&amp;ROUNDUP(A7/3,0)</f>
        <v>Q1</v>
      </c>
      <c r="D7" s="30" t="str">
        <f t="shared" ref="D7:D18" si="1">IF(A7&lt;=$B$4,"Real","Forecast")</f>
        <v>Real</v>
      </c>
      <c r="E7" s="27">
        <v>104582</v>
      </c>
      <c r="F7" s="51">
        <v>9968.1659999999993</v>
      </c>
      <c r="G7" s="49">
        <f>SUM($E$7:E7)</f>
        <v>104582</v>
      </c>
      <c r="H7" s="41">
        <f>SUM($F$7:F7)</f>
        <v>9968.1659999999993</v>
      </c>
      <c r="I7" s="49">
        <f t="shared" ref="I7:I18" si="2">IF(D7="Real",E7,0)</f>
        <v>104582</v>
      </c>
      <c r="J7" s="49">
        <f t="shared" ref="J7:J18" si="3">IF(D7="Forecast",E7,0)</f>
        <v>0</v>
      </c>
    </row>
    <row r="8" spans="1:10" x14ac:dyDescent="0.25">
      <c r="A8" s="32">
        <v>2</v>
      </c>
      <c r="B8" s="30" t="s">
        <v>115</v>
      </c>
      <c r="C8" s="30" t="str">
        <f t="shared" si="0"/>
        <v>Q1</v>
      </c>
      <c r="D8" s="30" t="str">
        <f t="shared" si="1"/>
        <v>Real</v>
      </c>
      <c r="E8" s="27">
        <v>127405</v>
      </c>
      <c r="F8" s="51">
        <v>12767.714</v>
      </c>
      <c r="G8" s="49">
        <f>SUM($E$7:E8)</f>
        <v>231987</v>
      </c>
      <c r="H8" s="41">
        <f>SUM($F$7:F8)</f>
        <v>22735.879999999997</v>
      </c>
      <c r="I8" s="49">
        <f t="shared" si="2"/>
        <v>127405</v>
      </c>
      <c r="J8" s="49">
        <f t="shared" si="3"/>
        <v>0</v>
      </c>
    </row>
    <row r="9" spans="1:10" x14ac:dyDescent="0.25">
      <c r="A9" s="32">
        <v>3</v>
      </c>
      <c r="B9" s="30" t="s">
        <v>116</v>
      </c>
      <c r="C9" s="30" t="str">
        <f t="shared" si="0"/>
        <v>Q1</v>
      </c>
      <c r="D9" s="30" t="str">
        <f t="shared" si="1"/>
        <v>Real</v>
      </c>
      <c r="E9" s="27">
        <v>152049</v>
      </c>
      <c r="F9" s="51">
        <v>14462.924999999999</v>
      </c>
      <c r="G9" s="52">
        <f>SUM($E$7:E9)</f>
        <v>384036</v>
      </c>
      <c r="H9" s="41">
        <f>SUM($F$7:F9)</f>
        <v>37198.804999999993</v>
      </c>
      <c r="I9" s="49">
        <f t="shared" si="2"/>
        <v>152049</v>
      </c>
      <c r="J9" s="49">
        <f t="shared" si="3"/>
        <v>0</v>
      </c>
    </row>
    <row r="10" spans="1:10" x14ac:dyDescent="0.25">
      <c r="A10" s="32">
        <v>4</v>
      </c>
      <c r="B10" s="30" t="s">
        <v>117</v>
      </c>
      <c r="C10" s="30" t="str">
        <f t="shared" si="0"/>
        <v>Q2</v>
      </c>
      <c r="D10" s="30" t="str">
        <f t="shared" si="1"/>
        <v>Real</v>
      </c>
      <c r="E10" s="27">
        <v>126530</v>
      </c>
      <c r="F10" s="51">
        <v>12270.448</v>
      </c>
      <c r="G10" s="49">
        <f>SUM($E$7:E10)</f>
        <v>510566</v>
      </c>
      <c r="H10" s="41">
        <f>SUM($F$7:F10)</f>
        <v>49469.252999999997</v>
      </c>
      <c r="I10" s="49">
        <f t="shared" si="2"/>
        <v>126530</v>
      </c>
      <c r="J10" s="49">
        <f t="shared" si="3"/>
        <v>0</v>
      </c>
    </row>
    <row r="11" spans="1:10" x14ac:dyDescent="0.25">
      <c r="A11" s="32">
        <v>5</v>
      </c>
      <c r="B11" s="30" t="s">
        <v>118</v>
      </c>
      <c r="C11" s="30" t="str">
        <f t="shared" si="0"/>
        <v>Q2</v>
      </c>
      <c r="D11" s="30" t="str">
        <f t="shared" si="1"/>
        <v>Real</v>
      </c>
      <c r="E11" s="27">
        <v>181126</v>
      </c>
      <c r="F11" s="51">
        <v>27093.858</v>
      </c>
      <c r="G11" s="49">
        <f>SUM($E$7:E11)</f>
        <v>691692</v>
      </c>
      <c r="H11" s="41">
        <f>SUM($F$7:F11)</f>
        <v>76563.111000000004</v>
      </c>
      <c r="I11" s="49">
        <f t="shared" si="2"/>
        <v>181126</v>
      </c>
      <c r="J11" s="49">
        <f t="shared" si="3"/>
        <v>0</v>
      </c>
    </row>
    <row r="12" spans="1:10" x14ac:dyDescent="0.25">
      <c r="A12" s="32">
        <v>6</v>
      </c>
      <c r="B12" s="30" t="s">
        <v>119</v>
      </c>
      <c r="C12" s="30" t="str">
        <f t="shared" si="0"/>
        <v>Q2</v>
      </c>
      <c r="D12" s="30" t="str">
        <f t="shared" si="1"/>
        <v>Real</v>
      </c>
      <c r="E12" s="27">
        <v>124406</v>
      </c>
      <c r="F12" s="51">
        <v>12022.772779999999</v>
      </c>
      <c r="G12" s="49">
        <f>SUM($E$7:E12)</f>
        <v>816098</v>
      </c>
      <c r="H12" s="41">
        <f>SUM($F$7:F12)</f>
        <v>88585.883780000004</v>
      </c>
      <c r="I12" s="49">
        <f t="shared" si="2"/>
        <v>124406</v>
      </c>
      <c r="J12" s="49">
        <f t="shared" si="3"/>
        <v>0</v>
      </c>
    </row>
    <row r="13" spans="1:10" x14ac:dyDescent="0.25">
      <c r="A13" s="32">
        <v>7</v>
      </c>
      <c r="B13" s="30" t="s">
        <v>120</v>
      </c>
      <c r="C13" s="30" t="str">
        <f t="shared" si="0"/>
        <v>Q3</v>
      </c>
      <c r="D13" s="30" t="str">
        <f t="shared" si="1"/>
        <v>Real</v>
      </c>
      <c r="E13" s="27">
        <v>114336</v>
      </c>
      <c r="F13" s="51">
        <v>11718.909</v>
      </c>
      <c r="G13" s="49">
        <f>SUM($E$7:E13)</f>
        <v>930434</v>
      </c>
      <c r="H13" s="41">
        <f>SUM($F$7:F13)</f>
        <v>100304.79278</v>
      </c>
      <c r="I13" s="49">
        <f t="shared" si="2"/>
        <v>114336</v>
      </c>
      <c r="J13" s="49">
        <f t="shared" si="3"/>
        <v>0</v>
      </c>
    </row>
    <row r="14" spans="1:10" x14ac:dyDescent="0.25">
      <c r="A14" s="32">
        <v>8</v>
      </c>
      <c r="B14" s="30" t="s">
        <v>121</v>
      </c>
      <c r="C14" s="30" t="str">
        <f t="shared" si="0"/>
        <v>Q3</v>
      </c>
      <c r="D14" s="30" t="str">
        <f t="shared" si="1"/>
        <v>Real</v>
      </c>
      <c r="E14" s="27">
        <v>151623</v>
      </c>
      <c r="F14" s="51">
        <v>14500.72</v>
      </c>
      <c r="G14" s="49">
        <f>SUM($E$7:E14)</f>
        <v>1082057</v>
      </c>
      <c r="H14" s="41">
        <f>SUM($F$7:F14)</f>
        <v>114805.51278</v>
      </c>
      <c r="I14" s="49">
        <f t="shared" si="2"/>
        <v>151623</v>
      </c>
      <c r="J14" s="49">
        <f t="shared" si="3"/>
        <v>0</v>
      </c>
    </row>
    <row r="15" spans="1:10" x14ac:dyDescent="0.25">
      <c r="A15" s="32">
        <v>9</v>
      </c>
      <c r="B15" s="30" t="s">
        <v>122</v>
      </c>
      <c r="C15" s="30" t="str">
        <f t="shared" si="0"/>
        <v>Q3</v>
      </c>
      <c r="D15" s="30" t="str">
        <f t="shared" si="1"/>
        <v>Real</v>
      </c>
      <c r="E15" s="27">
        <v>146446</v>
      </c>
      <c r="F15" s="51">
        <v>13740.67</v>
      </c>
      <c r="G15" s="49">
        <f>SUM($E$7:E15)</f>
        <v>1228503</v>
      </c>
      <c r="H15" s="41">
        <f>SUM($F$7:F15)</f>
        <v>128546.18278</v>
      </c>
      <c r="I15" s="49">
        <f t="shared" si="2"/>
        <v>146446</v>
      </c>
      <c r="J15" s="49">
        <f t="shared" si="3"/>
        <v>0</v>
      </c>
    </row>
    <row r="16" spans="1:10" x14ac:dyDescent="0.25">
      <c r="A16" s="32">
        <v>10</v>
      </c>
      <c r="B16" s="30" t="s">
        <v>123</v>
      </c>
      <c r="C16" s="30" t="str">
        <f t="shared" si="0"/>
        <v>Q4</v>
      </c>
      <c r="D16" s="30" t="s">
        <v>633</v>
      </c>
      <c r="E16" s="27">
        <v>160547</v>
      </c>
      <c r="F16" s="51">
        <v>14484</v>
      </c>
      <c r="G16" s="49">
        <f>SUM($E$7:E16)</f>
        <v>1389050</v>
      </c>
      <c r="H16" s="41">
        <f>SUM($F$7:F16)</f>
        <v>143030.18278</v>
      </c>
      <c r="I16" s="49">
        <f t="shared" si="2"/>
        <v>160547</v>
      </c>
      <c r="J16" s="49">
        <f t="shared" si="3"/>
        <v>0</v>
      </c>
    </row>
    <row r="17" spans="1:10" x14ac:dyDescent="0.25">
      <c r="A17" s="32">
        <v>11</v>
      </c>
      <c r="B17" s="30" t="s">
        <v>124</v>
      </c>
      <c r="C17" s="30" t="str">
        <f t="shared" si="0"/>
        <v>Q4</v>
      </c>
      <c r="D17" s="30" t="str">
        <f t="shared" si="1"/>
        <v>Forecast</v>
      </c>
      <c r="E17" s="97">
        <v>140000</v>
      </c>
      <c r="F17" s="51">
        <v>15077.152379519899</v>
      </c>
      <c r="G17" s="49">
        <f>SUM($E$7:E17)</f>
        <v>1529050</v>
      </c>
      <c r="H17" s="41">
        <f>SUM($F$7:F17)</f>
        <v>158107.33515951989</v>
      </c>
      <c r="I17" s="49">
        <f t="shared" si="2"/>
        <v>0</v>
      </c>
      <c r="J17" s="49">
        <f t="shared" si="3"/>
        <v>140000</v>
      </c>
    </row>
    <row r="18" spans="1:10" x14ac:dyDescent="0.25">
      <c r="A18" s="32">
        <v>12</v>
      </c>
      <c r="B18" s="30" t="s">
        <v>125</v>
      </c>
      <c r="C18" s="30" t="str">
        <f t="shared" si="0"/>
        <v>Q4</v>
      </c>
      <c r="D18" s="30" t="str">
        <f t="shared" si="1"/>
        <v>Forecast</v>
      </c>
      <c r="E18" s="97">
        <v>122000</v>
      </c>
      <c r="F18" s="51">
        <v>13335.741279685401</v>
      </c>
      <c r="G18" s="52">
        <f>SUM($E$7:E18)</f>
        <v>1651050</v>
      </c>
      <c r="H18" s="53">
        <f>SUM($F$7:F18)</f>
        <v>171443.0764392053</v>
      </c>
      <c r="I18" s="52">
        <f t="shared" si="2"/>
        <v>0</v>
      </c>
      <c r="J18" s="49">
        <f t="shared" si="3"/>
        <v>122000</v>
      </c>
    </row>
    <row r="20" spans="1:10" ht="30" customHeight="1" x14ac:dyDescent="0.25">
      <c r="A20" s="25" t="s">
        <v>164</v>
      </c>
      <c r="B20" s="25"/>
      <c r="C20" s="25"/>
      <c r="D20" s="25"/>
      <c r="E20" s="25" t="s">
        <v>166</v>
      </c>
      <c r="F20" s="25" t="s">
        <v>167</v>
      </c>
    </row>
    <row r="21" spans="1:10" x14ac:dyDescent="0.25">
      <c r="A21" s="26" t="s">
        <v>172</v>
      </c>
      <c r="E21" s="49">
        <f>SUMIFS($E$7:$E$18,$C$7:$C$18,A21)</f>
        <v>384036</v>
      </c>
      <c r="F21" s="41">
        <f>SUMIFS($F$7:$F$18,$C$7:$C$18,A21)</f>
        <v>37198.804999999993</v>
      </c>
    </row>
    <row r="22" spans="1:10" x14ac:dyDescent="0.25">
      <c r="A22" s="26" t="s">
        <v>173</v>
      </c>
      <c r="E22" s="49">
        <f>SUMIFS($E$7:$E$18,$C$7:$C$18,A22)</f>
        <v>432062</v>
      </c>
      <c r="F22" s="41">
        <f>SUMIFS($F$7:$F$18,$C$7:$C$18,A22)</f>
        <v>51387.078779999996</v>
      </c>
    </row>
    <row r="23" spans="1:10" x14ac:dyDescent="0.25">
      <c r="A23" s="26" t="s">
        <v>174</v>
      </c>
      <c r="E23" s="49">
        <f>SUMIFS($E$7:$E$18,$C$7:$C$18,A23)</f>
        <v>412405</v>
      </c>
      <c r="F23" s="41">
        <f>SUMIFS($F$7:$F$18,$C$7:$C$18,A23)</f>
        <v>39960.298999999999</v>
      </c>
    </row>
    <row r="24" spans="1:10" x14ac:dyDescent="0.25">
      <c r="A24" s="54" t="s">
        <v>175</v>
      </c>
      <c r="E24" s="55">
        <f>SUMIFS($E$7:$E$18,$C$7:$C$18,A24)</f>
        <v>422547</v>
      </c>
      <c r="F24" s="56">
        <f>SUMIFS($F$7:$F$18,$C$7:$C$18,A24)</f>
        <v>42896.8936592053</v>
      </c>
    </row>
    <row r="26" spans="1:10" ht="30" customHeight="1" x14ac:dyDescent="0.25">
      <c r="A26" s="25" t="s">
        <v>176</v>
      </c>
      <c r="B26" s="25" t="s">
        <v>177</v>
      </c>
      <c r="C26" s="25" t="s">
        <v>178</v>
      </c>
      <c r="D26" s="25" t="s">
        <v>179</v>
      </c>
      <c r="E26" s="25" t="s">
        <v>180</v>
      </c>
      <c r="F26" s="25" t="s">
        <v>181</v>
      </c>
      <c r="G26" s="25" t="s">
        <v>182</v>
      </c>
      <c r="H26" s="25" t="s">
        <v>183</v>
      </c>
      <c r="I26" s="25" t="s">
        <v>184</v>
      </c>
      <c r="J26" s="25" t="s">
        <v>185</v>
      </c>
    </row>
    <row r="27" spans="1:10" x14ac:dyDescent="0.25">
      <c r="A27" s="26" t="s">
        <v>186</v>
      </c>
      <c r="B27" s="49">
        <v>160547</v>
      </c>
      <c r="C27" s="27">
        <v>132619</v>
      </c>
      <c r="D27" s="28">
        <f>IF(OR(B27="",C27=""),"",IF(C27=0,"n.a.",B27/C27-1))</f>
        <v>0.21058822642306163</v>
      </c>
      <c r="E27" s="57">
        <v>14484</v>
      </c>
      <c r="F27" s="51">
        <v>10674</v>
      </c>
      <c r="G27" s="28">
        <f>IF(OR(E27="",F27=""),"",IF(F27=0,"n.a.",E27/F27-1))</f>
        <v>0.3569421023046655</v>
      </c>
      <c r="H27" s="38">
        <v>0.27</v>
      </c>
      <c r="I27" s="38">
        <v>0.24</v>
      </c>
      <c r="J27" s="39">
        <f>IF(OR(H27="",I27=""),"",(H27-I27)*100)</f>
        <v>3.0000000000000027</v>
      </c>
    </row>
    <row r="28" spans="1:10" x14ac:dyDescent="0.25">
      <c r="A28" s="26" t="s">
        <v>187</v>
      </c>
      <c r="B28" s="49">
        <v>1400088</v>
      </c>
      <c r="C28" s="27">
        <v>1120898</v>
      </c>
      <c r="D28" s="28">
        <f>IF(OR(B28="",C28=""),"",IF(C28=0,"n.a.",B28/C28-1))</f>
        <v>0.2490770792703707</v>
      </c>
      <c r="E28" s="57">
        <f>SUMIFS(F7:F18,A7:A18,"&lt;="&amp;$B$4)</f>
        <v>128546.18278</v>
      </c>
      <c r="F28" s="51">
        <v>95505</v>
      </c>
      <c r="G28" s="28">
        <f>IF(OR(E28="",F28=""),"",IF(F28=0,"n.a.",E28/F28-1))</f>
        <v>0.34596285827967121</v>
      </c>
      <c r="H28" s="38">
        <v>0.25</v>
      </c>
      <c r="I28" s="38">
        <v>0.24</v>
      </c>
      <c r="J28" s="39">
        <f>IF(OR(H28="",I28=""),"",(H28-I28)*100)</f>
        <v>1.0000000000000009</v>
      </c>
    </row>
    <row r="29" spans="1:10" x14ac:dyDescent="0.25">
      <c r="A29" s="26" t="s">
        <v>188</v>
      </c>
      <c r="B29" s="49">
        <f>SUMIFS(E7:E18,A7:A18,"&gt;"&amp;$B$4)</f>
        <v>422547</v>
      </c>
      <c r="C29" s="49">
        <f>C30-C28</f>
        <v>238943</v>
      </c>
      <c r="D29" s="28">
        <f>IF(OR(B29="",C29=""),"",IF(C29=0,"n.a.",B29/C29-1))</f>
        <v>0.76840083199758946</v>
      </c>
      <c r="E29" s="57">
        <f>SUMIFS(F7:F18,A7:A18,"&gt;"&amp;$B$4)</f>
        <v>42896.8936592053</v>
      </c>
      <c r="F29" s="57">
        <f>F30-F28</f>
        <v>35630.753999999986</v>
      </c>
      <c r="G29" s="28">
        <f>IF(OR(E29="",F29=""),"",IF(F29=0,"n.a.",E29/F29-1))</f>
        <v>0.20392887726162945</v>
      </c>
      <c r="H29" s="38"/>
      <c r="I29" s="38"/>
      <c r="J29" s="39" t="str">
        <f>IF(OR(H29="",I29=""),"",(H29-I29)*100)</f>
        <v/>
      </c>
    </row>
    <row r="30" spans="1:10" x14ac:dyDescent="0.25">
      <c r="A30" s="26" t="s">
        <v>189</v>
      </c>
      <c r="B30" s="96">
        <f>SUM(E7:E18)</f>
        <v>1651050</v>
      </c>
      <c r="C30" s="27">
        <v>1359841</v>
      </c>
      <c r="D30" s="28">
        <f>IF(OR(B30="",C30=""),"",IF(C30=0,"n.a.",B30/C30-1))</f>
        <v>0.21414930127860532</v>
      </c>
      <c r="E30" s="57">
        <f>SUM(F7:F18)</f>
        <v>171443.0764392053</v>
      </c>
      <c r="F30" s="51">
        <v>131135.75399999999</v>
      </c>
      <c r="G30" s="28">
        <f>IF(OR(E30="",F30=""),"",IF(F30=0,"n.a.",E30/F30-1))</f>
        <v>0.30737095879439047</v>
      </c>
      <c r="H30" s="38"/>
      <c r="I30" s="38"/>
      <c r="J30" s="39" t="str">
        <f>IF(OR(H30="",I30=""),"",(H30-I30)*100)</f>
        <v/>
      </c>
    </row>
    <row r="32" spans="1:10" x14ac:dyDescent="0.25">
      <c r="A32" s="26" t="s">
        <v>190</v>
      </c>
      <c r="B32" s="28">
        <f>B28/B30</f>
        <v>0.84799854637957661</v>
      </c>
    </row>
  </sheetData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61530"/>
  </sheetPr>
  <dimension ref="A1:L25"/>
  <sheetViews>
    <sheetView showGridLines="0" zoomScaleNormal="100" workbookViewId="0">
      <selection activeCell="K9" sqref="K9"/>
    </sheetView>
  </sheetViews>
  <sheetFormatPr baseColWidth="10" defaultColWidth="8.7109375" defaultRowHeight="15" x14ac:dyDescent="0.25"/>
  <cols>
    <col min="1" max="1" width="5" customWidth="1"/>
    <col min="2" max="3" width="26" customWidth="1"/>
    <col min="4" max="4" width="12" customWidth="1"/>
    <col min="5" max="5" width="30" customWidth="1"/>
    <col min="6" max="6" width="22" customWidth="1"/>
    <col min="7" max="7" width="11" customWidth="1"/>
    <col min="8" max="9" width="14" customWidth="1"/>
    <col min="10" max="10" width="9" customWidth="1"/>
    <col min="11" max="11" width="12" customWidth="1"/>
    <col min="12" max="12" width="15" customWidth="1"/>
  </cols>
  <sheetData>
    <row r="1" spans="1:12" ht="18" customHeight="1" x14ac:dyDescent="0.25">
      <c r="A1" s="2" t="s">
        <v>191</v>
      </c>
    </row>
    <row r="2" spans="1:12" x14ac:dyDescent="0.25">
      <c r="A2" s="24" t="s">
        <v>192</v>
      </c>
    </row>
    <row r="4" spans="1:12" x14ac:dyDescent="0.25">
      <c r="A4" s="26" t="s">
        <v>193</v>
      </c>
      <c r="E4" s="30" t="str">
        <f>Pipeline!C4</f>
        <v>USD</v>
      </c>
    </row>
    <row r="6" spans="1:12" x14ac:dyDescent="0.25">
      <c r="A6" s="3" t="s">
        <v>194</v>
      </c>
    </row>
    <row r="7" spans="1:12" ht="30" customHeight="1" x14ac:dyDescent="0.25">
      <c r="A7" s="25" t="s">
        <v>47</v>
      </c>
      <c r="B7" s="25" t="s">
        <v>195</v>
      </c>
      <c r="C7" s="25" t="s">
        <v>83</v>
      </c>
      <c r="D7" s="25" t="s">
        <v>196</v>
      </c>
      <c r="E7" s="25" t="s">
        <v>197</v>
      </c>
      <c r="F7" s="25" t="s">
        <v>198</v>
      </c>
      <c r="G7" s="25" t="s">
        <v>36</v>
      </c>
      <c r="H7" s="25" t="s">
        <v>199</v>
      </c>
      <c r="I7" s="25" t="s">
        <v>165</v>
      </c>
      <c r="J7" s="25" t="s">
        <v>200</v>
      </c>
      <c r="K7" s="25" t="s">
        <v>201</v>
      </c>
      <c r="L7" s="25" t="s">
        <v>202</v>
      </c>
    </row>
    <row r="8" spans="1:12" x14ac:dyDescent="0.25">
      <c r="A8" s="32">
        <v>1</v>
      </c>
      <c r="B8" s="30" t="str">
        <f>IFERROR(IF(INDEX(Pipeline!$B$7:$B$67,MATCH(LARGE(Pipeline!$M$7:$M$67,1),Pipeline!$M$7:$M$67,0))="","—",INDEX(Pipeline!$B$7:$B$67,MATCH(LARGE(Pipeline!$M$7:$M$67,1),Pipeline!$M$7:$M$67,0))),"")</f>
        <v>Construplan</v>
      </c>
      <c r="C8" s="30" t="str">
        <f>IFERROR(IF(INDEX(Pipeline!$C$7:$C$67,MATCH(LARGE(Pipeline!$M$7:$M$67,1),Pipeline!$M$7:$M$67,0))="","—",INDEX(Pipeline!$C$7:$C$67,MATCH(LARGE(Pipeline!$M$7:$M$67,1),Pipeline!$M$7:$M$67,0))),"")</f>
        <v>Walmart</v>
      </c>
      <c r="D8" s="30" t="str">
        <f>IFERROR(IF(INDEX(Pipeline!$E$7:$E$67,MATCH(LARGE(Pipeline!$M$7:$M$67,1),Pipeline!$M$7:$M$67,0))="","—",INDEX(Pipeline!$E$7:$E$67,MATCH(LARGE(Pipeline!$M$7:$M$67,1),Pipeline!$M$7:$M$67,0))),"")</f>
        <v>Guatemala</v>
      </c>
      <c r="E8" s="30" t="str">
        <f>IFERROR(IF(INDEX(Pipeline!$F$7:$F$67,MATCH(LARGE(Pipeline!$M$7:$M$67,1),Pipeline!$M$7:$M$67,0))="","—",INDEX(Pipeline!$F$7:$F$67,MATCH(LARGE(Pipeline!$M$7:$M$67,1),Pipeline!$M$7:$M$67,0))),"")</f>
        <v>King Wall / King Frio / King Roof</v>
      </c>
      <c r="F8" s="30" t="str">
        <f>IFERROR(IF(INDEX(Pipeline!$D$7:$D$67,MATCH(LARGE(Pipeline!$M$7:$M$67,1),Pipeline!$M$7:$M$67,0))="","—",INDEX(Pipeline!$D$7:$D$67,MATCH(LARGE(Pipeline!$M$7:$M$67,1),Pipeline!$M$7:$M$67,0))),"")</f>
        <v>Carlos Rodriguez</v>
      </c>
      <c r="G8" s="49">
        <f>IFERROR(IF(INDEX(Pipeline!$G$7:$G$67,MATCH(LARGE(Pipeline!$M$7:$M$67,1),Pipeline!$M$7:$M$67,0))="","—",INDEX(Pipeline!$G$7:$G$67,MATCH(LARGE(Pipeline!$M$7:$M$67,1),Pipeline!$M$7:$M$67,0))),"")</f>
        <v>100000</v>
      </c>
      <c r="H8" s="58">
        <f>IFERROR(IF(INDEX(Pipeline!$H$7:$H$67,MATCH(LARGE(Pipeline!$M$7:$M$67,1),Pipeline!$M$7:$M$67,0))="","—",INDEX(Pipeline!$H$7:$H$67,MATCH(LARGE(Pipeline!$M$7:$M$67,1),Pipeline!$M$7:$M$67,0))),"")</f>
        <v>2787794</v>
      </c>
      <c r="I8" s="30" t="str">
        <f>IFERROR(IF(INDEX(Pipeline!$I$7:$I$67,MATCH(LARGE(Pipeline!$M$7:$M$67,1),Pipeline!$M$7:$M$67,0))="","—",INDEX(Pipeline!$I$7:$I$67,MATCH(LARGE(Pipeline!$M$7:$M$67,1),Pipeline!$M$7:$M$67,0))),"")</f>
        <v>Specification</v>
      </c>
      <c r="J8" s="45">
        <f>IFERROR(IF(INDEX(Pipeline!$J$7:$J$67,MATCH(LARGE(Pipeline!$M$7:$M$67,1),Pipeline!$M$7:$M$67,0))="","—",INDEX(Pipeline!$J$7:$J$67,MATCH(LARGE(Pipeline!$M$7:$M$67,1),Pipeline!$M$7:$M$67,0))),"")</f>
        <v>0.75</v>
      </c>
      <c r="K8" s="59" t="str">
        <f>IFERROR(IF(INDEX(Pipeline!$K$7:$K$67,MATCH(LARGE(Pipeline!$M$7:$M$67,1),Pipeline!$M$7:$M$67,0))="","—",INDEX(Pipeline!$K$7:$K$67,MATCH(LARGE(Pipeline!$M$7:$M$67,1),Pipeline!$M$7:$M$67,0))),"")</f>
        <v>Noviembre</v>
      </c>
      <c r="L8" s="58">
        <f>IFERROR(IF(INDEX(Pipeline!$L$7:$L$67,MATCH(LARGE(Pipeline!$M$7:$M$67,1),Pipeline!$M$7:$M$67,0))="","—",INDEX(Pipeline!$L$7:$L$67,MATCH(LARGE(Pipeline!$M$7:$M$67,1),Pipeline!$M$7:$M$67,0))),"")</f>
        <v>2090845.5</v>
      </c>
    </row>
    <row r="9" spans="1:12" x14ac:dyDescent="0.25">
      <c r="A9" s="32">
        <v>2</v>
      </c>
      <c r="B9" s="30" t="str">
        <f>IFERROR(IF(INDEX(Pipeline!$B$7:$B$67,MATCH(LARGE(Pipeline!$M$7:$M$67,2),Pipeline!$M$7:$M$67,0))="","—",INDEX(Pipeline!$B$7:$B$67,MATCH(LARGE(Pipeline!$M$7:$M$67,2),Pipeline!$M$7:$M$67,0))),"")</f>
        <v>Haceb</v>
      </c>
      <c r="C9" s="30" t="str">
        <f>IFERROR(IF(INDEX(Pipeline!$C$7:$C$67,MATCH(LARGE(Pipeline!$M$7:$M$67,2),Pipeline!$M$7:$M$67,0))="","—",INDEX(Pipeline!$C$7:$C$67,MATCH(LARGE(Pipeline!$M$7:$M$67,2),Pipeline!$M$7:$M$67,0))),"")</f>
        <v>Recambio</v>
      </c>
      <c r="D9" s="30" t="str">
        <f>IFERROR(IF(INDEX(Pipeline!$E$7:$E$67,MATCH(LARGE(Pipeline!$M$7:$M$67,2),Pipeline!$M$7:$M$67,0))="","—",INDEX(Pipeline!$E$7:$E$67,MATCH(LARGE(Pipeline!$M$7:$M$67,2),Pipeline!$M$7:$M$67,0))),"")</f>
        <v>Colombia</v>
      </c>
      <c r="E9" s="30" t="str">
        <f>IFERROR(IF(INDEX(Pipeline!$F$7:$F$67,MATCH(LARGE(Pipeline!$M$7:$M$67,2),Pipeline!$M$7:$M$67,0))="","—",INDEX(Pipeline!$F$7:$F$67,MATCH(LARGE(Pipeline!$M$7:$M$67,2),Pipeline!$M$7:$M$67,0))),"")</f>
        <v>KingWall / KingRoof</v>
      </c>
      <c r="F9" s="30" t="str">
        <f>IFERROR(IF(INDEX(Pipeline!$D$7:$D$67,MATCH(LARGE(Pipeline!$M$7:$M$67,2),Pipeline!$M$7:$M$67,0))="","—",INDEX(Pipeline!$D$7:$D$67,MATCH(LARGE(Pipeline!$M$7:$M$67,2),Pipeline!$M$7:$M$67,0))),"")</f>
        <v>Ana Arias</v>
      </c>
      <c r="G9" s="49">
        <v>61000</v>
      </c>
      <c r="H9" s="58">
        <v>1694102</v>
      </c>
      <c r="I9" s="30" t="str">
        <f>IFERROR(IF(INDEX(Pipeline!$I$7:$I$67,MATCH(LARGE(Pipeline!$M$7:$M$67,2),Pipeline!$M$7:$M$67,0))="","—",INDEX(Pipeline!$I$7:$I$67,MATCH(LARGE(Pipeline!$M$7:$M$67,2),Pipeline!$M$7:$M$67,0))),"")</f>
        <v>Pending</v>
      </c>
      <c r="J9" s="45">
        <f>IFERROR(IF(INDEX(Pipeline!$J$7:$J$67,MATCH(LARGE(Pipeline!$M$7:$M$67,2),Pipeline!$M$7:$M$67,0))="","—",INDEX(Pipeline!$J$7:$J$67,MATCH(LARGE(Pipeline!$M$7:$M$67,2),Pipeline!$M$7:$M$67,0))),"")</f>
        <v>0.8</v>
      </c>
      <c r="K9" s="59" t="str">
        <f>IFERROR(IF(INDEX(Pipeline!$K$7:$K$67,MATCH(LARGE(Pipeline!$M$7:$M$67,2),Pipeline!$M$7:$M$67,0))="","—",INDEX(Pipeline!$K$7:$K$67,MATCH(LARGE(Pipeline!$M$7:$M$67,2),Pipeline!$M$7:$M$67,0))),"")</f>
        <v>Noviembre</v>
      </c>
      <c r="L9" s="58">
        <f>IFERROR(IF(INDEX(Pipeline!$L$7:$L$67,MATCH(LARGE(Pipeline!$M$7:$M$67,2),Pipeline!$M$7:$M$67,0))="","—",INDEX(Pipeline!$L$7:$L$67,MATCH(LARGE(Pipeline!$M$7:$M$67,2),Pipeline!$M$7:$M$67,0))),"")</f>
        <v>1360404</v>
      </c>
    </row>
    <row r="10" spans="1:12" x14ac:dyDescent="0.25">
      <c r="A10" s="32">
        <v>3</v>
      </c>
      <c r="B10" s="30" t="str">
        <f>IFERROR(IF(INDEX(Pipeline!$B$7:$B$67,MATCH(LARGE(Pipeline!$M$7:$M$67,3),Pipeline!$M$7:$M$67,0))="","—",INDEX(Pipeline!$B$7:$B$67,MATCH(LARGE(Pipeline!$M$7:$M$67,3),Pipeline!$M$7:$M$67,0))),"")</f>
        <v>Ménsula / Conconcreto</v>
      </c>
      <c r="C10" s="30" t="str">
        <f>IFERROR(IF(INDEX(Pipeline!$C$7:$C$67,MATCH(LARGE(Pipeline!$M$7:$M$67,3),Pipeline!$M$7:$M$67,0))="","—",INDEX(Pipeline!$C$7:$C$67,MATCH(LARGE(Pipeline!$M$7:$M$67,3),Pipeline!$M$7:$M$67,0))),"")</f>
        <v>Viva Suba / Claro</v>
      </c>
      <c r="D10" s="30" t="str">
        <f>IFERROR(IF(INDEX(Pipeline!$E$7:$E$67,MATCH(LARGE(Pipeline!$M$7:$M$67,3),Pipeline!$M$7:$M$67,0))="","—",INDEX(Pipeline!$E$7:$E$67,MATCH(LARGE(Pipeline!$M$7:$M$67,3),Pipeline!$M$7:$M$67,0))),"")</f>
        <v>Colombia</v>
      </c>
      <c r="E10" s="30" t="str">
        <f>IFERROR(IF(INDEX(Pipeline!$F$7:$F$67,MATCH(LARGE(Pipeline!$M$7:$M$67,3),Pipeline!$M$7:$M$67,0))="","—",INDEX(Pipeline!$F$7:$F$67,MATCH(LARGE(Pipeline!$M$7:$M$67,3),Pipeline!$M$7:$M$67,0))),"")</f>
        <v>KingRoof / Benchmark</v>
      </c>
      <c r="F10" s="30" t="str">
        <f>IFERROR(IF(INDEX(Pipeline!$D$7:$D$67,MATCH(LARGE(Pipeline!$M$7:$M$67,3),Pipeline!$M$7:$M$67,0))="","—",INDEX(Pipeline!$D$7:$D$67,MATCH(LARGE(Pipeline!$M$7:$M$67,3),Pipeline!$M$7:$M$67,0))),"")</f>
        <v>Ana Arias</v>
      </c>
      <c r="G10" s="49">
        <f>IFERROR(IF(INDEX(Pipeline!$G$7:$G$67,MATCH(LARGE(Pipeline!$M$7:$M$67,3),Pipeline!$M$7:$M$67,0))="","—",INDEX(Pipeline!$G$7:$G$67,MATCH(LARGE(Pipeline!$M$7:$M$67,3),Pipeline!$M$7:$M$67,0))),"")</f>
        <v>10289</v>
      </c>
      <c r="H10" s="58">
        <f>IFERROR(IF(INDEX(Pipeline!$H$7:$H$67,MATCH(LARGE(Pipeline!$M$7:$M$67,3),Pipeline!$M$7:$M$67,0))="","—",INDEX(Pipeline!$H$7:$H$67,MATCH(LARGE(Pipeline!$M$7:$M$67,3),Pipeline!$M$7:$M$67,0))),"")</f>
        <v>1600000</v>
      </c>
      <c r="I10" s="30" t="str">
        <f>IFERROR(IF(INDEX(Pipeline!$I$7:$I$67,MATCH(LARGE(Pipeline!$M$7:$M$67,3),Pipeline!$M$7:$M$67,0))="","—",INDEX(Pipeline!$I$7:$I$67,MATCH(LARGE(Pipeline!$M$7:$M$67,3),Pipeline!$M$7:$M$67,0))),"")</f>
        <v>Pending</v>
      </c>
      <c r="J10" s="45" t="str">
        <f>IFERROR(IF(INDEX(Pipeline!$J$7:$J$67,MATCH(LARGE(Pipeline!$M$7:$M$67,3),Pipeline!$M$7:$M$67,0))="","—",INDEX(Pipeline!$J$7:$J$67,MATCH(LARGE(Pipeline!$M$7:$M$67,3),Pipeline!$M$7:$M$67,0))),"")</f>
        <v>—</v>
      </c>
      <c r="K10" s="59" t="str">
        <f>IFERROR(IF(INDEX(Pipeline!$K$7:$K$67,MATCH(LARGE(Pipeline!$M$7:$M$67,3),Pipeline!$M$7:$M$67,0))="","—",INDEX(Pipeline!$K$7:$K$67,MATCH(LARGE(Pipeline!$M$7:$M$67,3),Pipeline!$M$7:$M$67,0))),"")</f>
        <v>—</v>
      </c>
      <c r="L10" s="58" t="str">
        <f>IFERROR(IF(INDEX(Pipeline!$L$7:$L$67,MATCH(LARGE(Pipeline!$M$7:$M$67,3),Pipeline!$M$7:$M$67,0))="","—",INDEX(Pipeline!$L$7:$L$67,MATCH(LARGE(Pipeline!$M$7:$M$67,3),Pipeline!$M$7:$M$67,0))),"")</f>
        <v>—</v>
      </c>
    </row>
    <row r="11" spans="1:12" x14ac:dyDescent="0.25">
      <c r="A11" s="32">
        <v>4</v>
      </c>
      <c r="B11" s="30" t="str">
        <f>IFERROR(IF(INDEX(Pipeline!$B$7:$B$67,MATCH(LARGE(Pipeline!$M$7:$M$67,4),Pipeline!$M$7:$M$67,0))="","—",INDEX(Pipeline!$B$7:$B$67,MATCH(LARGE(Pipeline!$M$7:$M$67,4),Pipeline!$M$7:$M$67,0))),"")</f>
        <v>Imbert Dominguez</v>
      </c>
      <c r="C11" s="30" t="str">
        <f>IFERROR(IF(INDEX(Pipeline!$C$7:$C$67,MATCH(LARGE(Pipeline!$M$7:$M$67,4),Pipeline!$M$7:$M$67,0))="","—",INDEX(Pipeline!$C$7:$C$67,MATCH(LARGE(Pipeline!$M$7:$M$67,4),Pipeline!$M$7:$M$67,0))),"")</f>
        <v>INDAL-IDA</v>
      </c>
      <c r="D11" s="30" t="str">
        <f>IFERROR(IF(INDEX(Pipeline!$E$7:$E$67,MATCH(LARGE(Pipeline!$M$7:$M$67,4),Pipeline!$M$7:$M$67,0))="","—",INDEX(Pipeline!$E$7:$E$67,MATCH(LARGE(Pipeline!$M$7:$M$67,4),Pipeline!$M$7:$M$67,0))),"")</f>
        <v>Dominicana</v>
      </c>
      <c r="E11" s="30" t="str">
        <f>IFERROR(IF(INDEX(Pipeline!$F$7:$F$67,MATCH(LARGE(Pipeline!$M$7:$M$67,4),Pipeline!$M$7:$M$67,0))="","—",INDEX(Pipeline!$F$7:$F$67,MATCH(LARGE(Pipeline!$M$7:$M$67,4),Pipeline!$M$7:$M$67,0))),"")</f>
        <v>KingRoof / KingWall / KingFrigo</v>
      </c>
      <c r="F11" s="30" t="str">
        <f>IFERROR(IF(INDEX(Pipeline!$D$7:$D$67,MATCH(LARGE(Pipeline!$M$7:$M$67,4),Pipeline!$M$7:$M$67,0))="","—",INDEX(Pipeline!$D$7:$D$67,MATCH(LARGE(Pipeline!$M$7:$M$67,4),Pipeline!$M$7:$M$67,0))),"")</f>
        <v>Laura Torres</v>
      </c>
      <c r="G11" s="49">
        <f>IFERROR(IF(INDEX(Pipeline!$G$7:$G$67,MATCH(LARGE(Pipeline!$M$7:$M$67,4),Pipeline!$M$7:$M$67,0))="","—",INDEX(Pipeline!$G$7:$G$67,MATCH(LARGE(Pipeline!$M$7:$M$67,4),Pipeline!$M$7:$M$67,0))),"")</f>
        <v>50000</v>
      </c>
      <c r="H11" s="58">
        <f>IFERROR(IF(INDEX(Pipeline!$H$7:$H$67,MATCH(LARGE(Pipeline!$M$7:$M$67,4),Pipeline!$M$7:$M$67,0))="","—",INDEX(Pipeline!$H$7:$H$67,MATCH(LARGE(Pipeline!$M$7:$M$67,4),Pipeline!$M$7:$M$67,0))),"")</f>
        <v>1550000</v>
      </c>
      <c r="I11" s="30" t="str">
        <f>IFERROR(IF(INDEX(Pipeline!$I$7:$I$67,MATCH(LARGE(Pipeline!$M$7:$M$67,4),Pipeline!$M$7:$M$67,0))="","—",INDEX(Pipeline!$I$7:$I$67,MATCH(LARGE(Pipeline!$M$7:$M$67,4),Pipeline!$M$7:$M$67,0))),"")</f>
        <v>Pending</v>
      </c>
      <c r="J11" s="45">
        <f>IFERROR(IF(INDEX(Pipeline!$J$7:$J$67,MATCH(LARGE(Pipeline!$M$7:$M$67,4),Pipeline!$M$7:$M$67,0))="","—",INDEX(Pipeline!$J$7:$J$67,MATCH(LARGE(Pipeline!$M$7:$M$67,4),Pipeline!$M$7:$M$67,0))),"")</f>
        <v>0.75</v>
      </c>
      <c r="K11" s="59" t="str">
        <f>IFERROR(IF(INDEX(Pipeline!$K$7:$K$67,MATCH(LARGE(Pipeline!$M$7:$M$67,4),Pipeline!$M$7:$M$67,0))="","—",INDEX(Pipeline!$K$7:$K$67,MATCH(LARGE(Pipeline!$M$7:$M$67,4),Pipeline!$M$7:$M$67,0))),"")</f>
        <v>Noviembre</v>
      </c>
      <c r="L11" s="58">
        <f>IFERROR(IF(INDEX(Pipeline!$L$7:$L$67,MATCH(LARGE(Pipeline!$M$7:$M$67,4),Pipeline!$M$7:$M$67,0))="","—",INDEX(Pipeline!$L$7:$L$67,MATCH(LARGE(Pipeline!$M$7:$M$67,4),Pipeline!$M$7:$M$67,0))),"")</f>
        <v>1162500</v>
      </c>
    </row>
    <row r="12" spans="1:12" x14ac:dyDescent="0.25">
      <c r="A12" s="32">
        <v>5</v>
      </c>
      <c r="B12" s="30" t="str">
        <f>IFERROR(IF(INDEX(Pipeline!$B$7:$B$67,MATCH(LARGE(Pipeline!$M$7:$M$67,5),Pipeline!$M$7:$M$67,0))="","—",INDEX(Pipeline!$B$7:$B$67,MATCH(LARGE(Pipeline!$M$7:$M$67,5),Pipeline!$M$7:$M$67,0))),"")</f>
        <v>Scadia</v>
      </c>
      <c r="C12" s="30" t="str">
        <f>IFERROR(IF(INDEX(Pipeline!$C$7:$C$67,MATCH(LARGE(Pipeline!$M$7:$M$67,5),Pipeline!$M$7:$M$67,0))="","—",INDEX(Pipeline!$C$7:$C$67,MATCH(LARGE(Pipeline!$M$7:$M$67,5),Pipeline!$M$7:$M$67,0))),"")</f>
        <v>Angar Avianca (Bogotá)</v>
      </c>
      <c r="D12" s="30" t="str">
        <f>IFERROR(IF(INDEX(Pipeline!$E$7:$E$67,MATCH(LARGE(Pipeline!$M$7:$M$67,5),Pipeline!$M$7:$M$67,0))="","—",INDEX(Pipeline!$E$7:$E$67,MATCH(LARGE(Pipeline!$M$7:$M$67,5),Pipeline!$M$7:$M$67,0))),"")</f>
        <v>Colombia</v>
      </c>
      <c r="E12" s="30" t="str">
        <f>IFERROR(IF(INDEX(Pipeline!$F$7:$F$67,MATCH(LARGE(Pipeline!$M$7:$M$67,5),Pipeline!$M$7:$M$67,0))="","—",INDEX(Pipeline!$F$7:$F$67,MATCH(LARGE(Pipeline!$M$7:$M$67,5),Pipeline!$M$7:$M$67,0))),"")</f>
        <v>KingWall / KingRoof o SS</v>
      </c>
      <c r="F12" s="30" t="str">
        <f>IFERROR(IF(INDEX(Pipeline!$D$7:$D$67,MATCH(LARGE(Pipeline!$M$7:$M$67,5),Pipeline!$M$7:$M$67,0))="","—",INDEX(Pipeline!$D$7:$D$67,MATCH(LARGE(Pipeline!$M$7:$M$67,5),Pipeline!$M$7:$M$67,0))),"")</f>
        <v>Julio Guerrero</v>
      </c>
      <c r="G12" s="49">
        <f>IFERROR(IF(INDEX(Pipeline!$G$7:$G$67,MATCH(LARGE(Pipeline!$M$7:$M$67,5),Pipeline!$M$7:$M$67,0))="","—",INDEX(Pipeline!$G$7:$G$67,MATCH(LARGE(Pipeline!$M$7:$M$67,5),Pipeline!$M$7:$M$67,0))),"")</f>
        <v>13000</v>
      </c>
      <c r="H12" s="58">
        <f>IFERROR(IF(INDEX(Pipeline!$H$7:$H$67,MATCH(LARGE(Pipeline!$M$7:$M$67,5),Pipeline!$M$7:$M$67,0))="","—",INDEX(Pipeline!$H$7:$H$67,MATCH(LARGE(Pipeline!$M$7:$M$67,5),Pipeline!$M$7:$M$67,0))),"")</f>
        <v>1203774</v>
      </c>
      <c r="I12" s="30" t="str">
        <f>IFERROR(IF(INDEX(Pipeline!$I$7:$I$67,MATCH(LARGE(Pipeline!$M$7:$M$67,5),Pipeline!$M$7:$M$67,0))="","—",INDEX(Pipeline!$I$7:$I$67,MATCH(LARGE(Pipeline!$M$7:$M$67,5),Pipeline!$M$7:$M$67,0))),"")</f>
        <v>Pending</v>
      </c>
      <c r="J12" s="45">
        <f>IFERROR(IF(INDEX(Pipeline!$J$7:$J$67,MATCH(LARGE(Pipeline!$M$7:$M$67,5),Pipeline!$M$7:$M$67,0))="","—",INDEX(Pipeline!$J$7:$J$67,MATCH(LARGE(Pipeline!$M$7:$M$67,5),Pipeline!$M$7:$M$67,0))),"")</f>
        <v>0.6</v>
      </c>
      <c r="K12" s="59" t="str">
        <f>IFERROR(IF(INDEX(Pipeline!$K$7:$K$67,MATCH(LARGE(Pipeline!$M$7:$M$67,5),Pipeline!$M$7:$M$67,0))="","—",INDEX(Pipeline!$K$7:$K$67,MATCH(LARGE(Pipeline!$M$7:$M$67,5),Pipeline!$M$7:$M$67,0))),"")</f>
        <v>Diciembre</v>
      </c>
      <c r="L12" s="58">
        <f>IFERROR(IF(INDEX(Pipeline!$L$7:$L$67,MATCH(LARGE(Pipeline!$M$7:$M$67,5),Pipeline!$M$7:$M$67,0))="","—",INDEX(Pipeline!$L$7:$L$67,MATCH(LARGE(Pipeline!$M$7:$M$67,5),Pipeline!$M$7:$M$67,0))),"")</f>
        <v>722264.4</v>
      </c>
    </row>
    <row r="13" spans="1:12" x14ac:dyDescent="0.25">
      <c r="B13" s="33" t="s">
        <v>203</v>
      </c>
      <c r="G13" s="34">
        <f>SUM(G8:G12)</f>
        <v>234289</v>
      </c>
      <c r="H13" s="60">
        <f>SUM(H8:H12)</f>
        <v>8835670</v>
      </c>
    </row>
    <row r="15" spans="1:12" x14ac:dyDescent="0.25">
      <c r="A15" s="3" t="s">
        <v>204</v>
      </c>
    </row>
    <row r="16" spans="1:12" ht="30" customHeight="1" x14ac:dyDescent="0.25">
      <c r="A16" s="25" t="s">
        <v>47</v>
      </c>
      <c r="B16" s="25" t="s">
        <v>195</v>
      </c>
      <c r="C16" s="25" t="s">
        <v>83</v>
      </c>
      <c r="D16" s="25" t="s">
        <v>196</v>
      </c>
      <c r="E16" s="25" t="s">
        <v>197</v>
      </c>
      <c r="F16" s="25" t="s">
        <v>198</v>
      </c>
      <c r="G16" s="25" t="s">
        <v>36</v>
      </c>
      <c r="H16" s="25" t="s">
        <v>199</v>
      </c>
      <c r="I16" s="25" t="s">
        <v>165</v>
      </c>
      <c r="J16" s="25" t="s">
        <v>200</v>
      </c>
      <c r="K16" s="25" t="s">
        <v>201</v>
      </c>
      <c r="L16" s="25" t="s">
        <v>202</v>
      </c>
    </row>
    <row r="17" spans="1:12" x14ac:dyDescent="0.25">
      <c r="A17" s="32">
        <v>1</v>
      </c>
      <c r="B17" s="30" t="str">
        <f>IFERROR(IF(INDEX(Pipeline!$B$7:$B$67,MATCH(LARGE(Pipeline!$N$7:$N$67,1),Pipeline!$N$7:$N$67,0))="","—",INDEX(Pipeline!$B$7:$B$67,MATCH(LARGE(Pipeline!$N$7:$N$67,1),Pipeline!$N$7:$N$67,0))),"")</f>
        <v>Galvaceros</v>
      </c>
      <c r="C17" s="30" t="str">
        <f>IFERROR(IF(INDEX(Pipeline!$C$7:$C$67,MATCH(LARGE(Pipeline!$N$7:$N$67,1),Pipeline!$N$7:$N$67,0))="","—",INDEX(Pipeline!$C$7:$C$67,MATCH(LARGE(Pipeline!$N$7:$N$67,1),Pipeline!$N$7:$N$67,0))),"")</f>
        <v>Panandina Data Center</v>
      </c>
      <c r="D17" s="30" t="str">
        <f>IFERROR(IF(INDEX(Pipeline!$E$7:$E$67,MATCH(LARGE(Pipeline!$N$7:$N$67,1),Pipeline!$N$7:$N$67,0))="","—",INDEX(Pipeline!$E$7:$E$67,MATCH(LARGE(Pipeline!$N$7:$N$67,1),Pipeline!$N$7:$N$67,0))),"")</f>
        <v>Colombia</v>
      </c>
      <c r="E17" s="30" t="str">
        <f>IFERROR(IF(INDEX(Pipeline!$F$7:$F$67,MATCH(LARGE(Pipeline!$N$7:$N$67,1),Pipeline!$N$7:$N$67,0))="","—",INDEX(Pipeline!$F$7:$F$67,MATCH(LARGE(Pipeline!$N$7:$N$67,1),Pipeline!$N$7:$N$67,0))),"")</f>
        <v>KingRoof / KingWall LMR</v>
      </c>
      <c r="F17" s="30" t="str">
        <f>IFERROR(IF(INDEX(Pipeline!$D$7:$D$67,MATCH(LARGE(Pipeline!$N$7:$N$67,1),Pipeline!$N$7:$N$67,0))="","—",INDEX(Pipeline!$D$7:$D$67,MATCH(LARGE(Pipeline!$N$7:$N$67,1),Pipeline!$N$7:$N$67,0))),"")</f>
        <v>Joana Perez</v>
      </c>
      <c r="G17" s="49">
        <f>IFERROR(IF(INDEX(Pipeline!$G$7:$G$67,MATCH(LARGE(Pipeline!$N$7:$N$67,1),Pipeline!$N$7:$N$67,0))="","—",INDEX(Pipeline!$G$7:$G$67,MATCH(LARGE(Pipeline!$N$7:$N$67,1),Pipeline!$N$7:$N$67,0))),"")</f>
        <v>4106</v>
      </c>
      <c r="H17" s="58">
        <f>IFERROR(IF(INDEX(Pipeline!$H$7:$H$67,MATCH(LARGE(Pipeline!$N$7:$N$67,1),Pipeline!$N$7:$N$67,0))="","—",INDEX(Pipeline!$H$7:$H$67,MATCH(LARGE(Pipeline!$N$7:$N$67,1),Pipeline!$N$7:$N$67,0))),"")</f>
        <v>494712</v>
      </c>
      <c r="I17" s="30" t="s">
        <v>630</v>
      </c>
      <c r="J17" s="45">
        <v>1</v>
      </c>
      <c r="K17" s="59" t="str">
        <f>IFERROR(IF(INDEX(Pipeline!$K$7:$K$67,MATCH(LARGE(Pipeline!$N$7:$N$67,1),Pipeline!$N$7:$N$67,0))="","—",INDEX(Pipeline!$K$7:$K$67,MATCH(LARGE(Pipeline!$N$7:$N$67,1),Pipeline!$N$7:$N$67,0))),"")</f>
        <v>Diciembre</v>
      </c>
      <c r="L17" s="58">
        <f>IFERROR(IF(INDEX(Pipeline!$L$7:$L$67,MATCH(LARGE(Pipeline!$N$7:$N$67,1),Pipeline!$N$7:$N$67,0))="","—",INDEX(Pipeline!$L$7:$L$67,MATCH(LARGE(Pipeline!$N$7:$N$67,1),Pipeline!$N$7:$N$67,0))),"")</f>
        <v>420505.2</v>
      </c>
    </row>
    <row r="18" spans="1:12" x14ac:dyDescent="0.25">
      <c r="A18" s="32">
        <v>2</v>
      </c>
      <c r="B18" s="30" t="str">
        <f>IFERROR(IF(INDEX(Pipeline!$B$7:$B$67,MATCH(LARGE(Pipeline!$N$7:$N$67,2),Pipeline!$N$7:$N$67,0))="","—",INDEX(Pipeline!$B$7:$B$67,MATCH(LARGE(Pipeline!$N$7:$N$67,2),Pipeline!$N$7:$N$67,0))),"")</f>
        <v>Colcover</v>
      </c>
      <c r="C18" s="30" t="str">
        <f>IFERROR(IF(INDEX(Pipeline!$C$7:$C$67,MATCH(LARGE(Pipeline!$N$7:$N$67,2),Pipeline!$N$7:$N$67,0))="","—",INDEX(Pipeline!$C$7:$C$67,MATCH(LARGE(Pipeline!$N$7:$N$67,2),Pipeline!$N$7:$N$67,0))),"")</f>
        <v>Proyecto</v>
      </c>
      <c r="D18" s="30" t="str">
        <f>IFERROR(IF(INDEX(Pipeline!$E$7:$E$67,MATCH(LARGE(Pipeline!$N$7:$N$67,2),Pipeline!$N$7:$N$67,0))="","—",INDEX(Pipeline!$E$7:$E$67,MATCH(LARGE(Pipeline!$N$7:$N$67,2),Pipeline!$N$7:$N$67,0))),"")</f>
        <v>Colombia</v>
      </c>
      <c r="E18" s="30" t="str">
        <f>IFERROR(IF(INDEX(Pipeline!$F$7:$F$67,MATCH(LARGE(Pipeline!$N$7:$N$67,2),Pipeline!$N$7:$N$67,0))="","—",INDEX(Pipeline!$F$7:$F$67,MATCH(LARGE(Pipeline!$N$7:$N$67,2),Pipeline!$N$7:$N$67,0))),"")</f>
        <v>KingRoof</v>
      </c>
      <c r="F18" s="30" t="str">
        <f>IFERROR(IF(INDEX(Pipeline!$D$7:$D$67,MATCH(LARGE(Pipeline!$N$7:$N$67,2),Pipeline!$N$7:$N$67,0))="","—",INDEX(Pipeline!$D$7:$D$67,MATCH(LARGE(Pipeline!$N$7:$N$67,2),Pipeline!$N$7:$N$67,0))),"")</f>
        <v>Henry Acosta</v>
      </c>
      <c r="G18" s="49">
        <f>IFERROR(IF(INDEX(Pipeline!$G$7:$G$67,MATCH(LARGE(Pipeline!$N$7:$N$67,2),Pipeline!$N$7:$N$67,0))="","—",INDEX(Pipeline!$G$7:$G$67,MATCH(LARGE(Pipeline!$N$7:$N$67,2),Pipeline!$N$7:$N$67,0))),"")</f>
        <v>21528</v>
      </c>
      <c r="H18" s="58">
        <f>IFERROR(IF(INDEX(Pipeline!$H$7:$H$67,MATCH(LARGE(Pipeline!$N$7:$N$67,2),Pipeline!$N$7:$N$67,0))="","—",INDEX(Pipeline!$H$7:$H$67,MATCH(LARGE(Pipeline!$N$7:$N$67,2),Pipeline!$N$7:$N$67,0))),"")</f>
        <v>411564.71</v>
      </c>
      <c r="I18" s="30" t="str">
        <f>IFERROR(IF(INDEX(Pipeline!$I$7:$I$67,MATCH(LARGE(Pipeline!$N$7:$N$67,2),Pipeline!$N$7:$N$67,0))="","—",INDEX(Pipeline!$I$7:$I$67,MATCH(LARGE(Pipeline!$N$7:$N$67,2),Pipeline!$N$7:$N$67,0))),"")</f>
        <v>Pending</v>
      </c>
      <c r="J18" s="45">
        <f>IFERROR(IF(INDEX(Pipeline!$J$7:$J$67,MATCH(LARGE(Pipeline!$N$7:$N$67,2),Pipeline!$N$7:$N$67,0))="","—",INDEX(Pipeline!$J$7:$J$67,MATCH(LARGE(Pipeline!$N$7:$N$67,2),Pipeline!$N$7:$N$67,0))),"")</f>
        <v>0.8</v>
      </c>
      <c r="K18" s="59" t="str">
        <f>IFERROR(IF(INDEX(Pipeline!$K$7:$K$67,MATCH(LARGE(Pipeline!$N$7:$N$67,2),Pipeline!$N$7:$N$67,0))="","—",INDEX(Pipeline!$K$7:$K$67,MATCH(LARGE(Pipeline!$N$7:$N$67,2),Pipeline!$N$7:$N$67,0))),"")</f>
        <v>Noviembre</v>
      </c>
      <c r="L18" s="58">
        <f>IFERROR(IF(INDEX(Pipeline!$L$7:$L$67,MATCH(LARGE(Pipeline!$N$7:$N$67,2),Pipeline!$N$7:$N$67,0))="","—",INDEX(Pipeline!$L$7:$L$67,MATCH(LARGE(Pipeline!$N$7:$N$67,2),Pipeline!$N$7:$N$67,0))),"")</f>
        <v>329251.76800000004</v>
      </c>
    </row>
    <row r="19" spans="1:12" x14ac:dyDescent="0.25">
      <c r="A19" s="32">
        <v>3</v>
      </c>
      <c r="B19" s="30" t="str">
        <f>IFERROR(IF(INDEX(Pipeline!$B$7:$B$67,MATCH(LARGE(Pipeline!$N$7:$N$67,3),Pipeline!$N$7:$N$67,0))="","—",INDEX(Pipeline!$B$7:$B$67,MATCH(LARGE(Pipeline!$N$7:$N$67,3),Pipeline!$N$7:$N$67,0))),"")</f>
        <v>CIA Caribe Mar</v>
      </c>
      <c r="C19" s="30" t="str">
        <f>IFERROR(IF(INDEX(Pipeline!$C$7:$C$67,MATCH(LARGE(Pipeline!$N$7:$N$67,3),Pipeline!$N$7:$N$67,0))="","—",INDEX(Pipeline!$C$7:$C$67,MATCH(LARGE(Pipeline!$N$7:$N$67,3),Pipeline!$N$7:$N$67,0))),"")</f>
        <v>Antártica</v>
      </c>
      <c r="D19" s="30" t="str">
        <f>IFERROR(IF(INDEX(Pipeline!$E$7:$E$67,MATCH(LARGE(Pipeline!$N$7:$N$67,3),Pipeline!$N$7:$N$67,0))="","—",INDEX(Pipeline!$E$7:$E$67,MATCH(LARGE(Pipeline!$N$7:$N$67,3),Pipeline!$N$7:$N$67,0))),"")</f>
        <v>Venezuela</v>
      </c>
      <c r="E19" s="30" t="str">
        <f>IFERROR(IF(INDEX(Pipeline!$F$7:$F$67,MATCH(LARGE(Pipeline!$N$7:$N$67,3),Pipeline!$N$7:$N$67,0))="","—",INDEX(Pipeline!$F$7:$F$67,MATCH(LARGE(Pipeline!$N$7:$N$67,3),Pipeline!$N$7:$N$67,0))),"")</f>
        <v>KingFrigo</v>
      </c>
      <c r="F19" s="30" t="str">
        <f>IFERROR(IF(INDEX(Pipeline!$D$7:$D$67,MATCH(LARGE(Pipeline!$N$7:$N$67,3),Pipeline!$N$7:$N$67,0))="","—",INDEX(Pipeline!$D$7:$D$67,MATCH(LARGE(Pipeline!$N$7:$N$67,3),Pipeline!$N$7:$N$67,0))),"")</f>
        <v>María Yelitza Calderón</v>
      </c>
      <c r="G19" s="49">
        <f>IFERROR(IF(INDEX(Pipeline!$G$7:$G$67,MATCH(LARGE(Pipeline!$N$7:$N$67,3),Pipeline!$N$7:$N$67,0))="","—",INDEX(Pipeline!$G$7:$G$67,MATCH(LARGE(Pipeline!$N$7:$N$67,3),Pipeline!$N$7:$N$67,0))),"")</f>
        <v>12000</v>
      </c>
      <c r="H19" s="58">
        <f>IFERROR(IF(INDEX(Pipeline!$H$7:$H$67,MATCH(LARGE(Pipeline!$N$7:$N$67,3),Pipeline!$N$7:$N$67,0))="","—",INDEX(Pipeline!$H$7:$H$67,MATCH(LARGE(Pipeline!$N$7:$N$67,3),Pipeline!$N$7:$N$67,0))),"")</f>
        <v>360000</v>
      </c>
      <c r="I19" s="30" t="str">
        <f>IFERROR(IF(INDEX(Pipeline!$I$7:$I$67,MATCH(LARGE(Pipeline!$N$7:$N$67,3),Pipeline!$N$7:$N$67,0))="","—",INDEX(Pipeline!$I$7:$I$67,MATCH(LARGE(Pipeline!$N$7:$N$67,3),Pipeline!$N$7:$N$67,0))),"")</f>
        <v>Specification</v>
      </c>
      <c r="J19" s="45">
        <f>IFERROR(IF(INDEX(Pipeline!$J$7:$J$67,MATCH(LARGE(Pipeline!$N$7:$N$67,3),Pipeline!$N$7:$N$67,0))="","—",INDEX(Pipeline!$J$7:$J$67,MATCH(LARGE(Pipeline!$N$7:$N$67,3),Pipeline!$N$7:$N$67,0))),"")</f>
        <v>0.9</v>
      </c>
      <c r="K19" s="59" t="str">
        <f>IFERROR(IF(INDEX(Pipeline!$K$7:$K$67,MATCH(LARGE(Pipeline!$N$7:$N$67,3),Pipeline!$N$7:$N$67,0))="","—",INDEX(Pipeline!$K$7:$K$67,MATCH(LARGE(Pipeline!$N$7:$N$67,3),Pipeline!$N$7:$N$67,0))),"")</f>
        <v>Noviembre</v>
      </c>
      <c r="L19" s="58">
        <f>IFERROR(IF(INDEX(Pipeline!$L$7:$L$67,MATCH(LARGE(Pipeline!$N$7:$N$67,3),Pipeline!$N$7:$N$67,0))="","—",INDEX(Pipeline!$L$7:$L$67,MATCH(LARGE(Pipeline!$N$7:$N$67,3),Pipeline!$N$7:$N$67,0))),"")</f>
        <v>324000</v>
      </c>
    </row>
    <row r="20" spans="1:12" x14ac:dyDescent="0.25">
      <c r="A20" s="32">
        <v>4</v>
      </c>
      <c r="B20" s="30" t="str">
        <f>IFERROR(IF(INDEX(Pipeline!$B$7:$B$67,MATCH(LARGE(Pipeline!$N$7:$N$67,4),Pipeline!$N$7:$N$67,0))="","—",INDEX(Pipeline!$B$7:$B$67,MATCH(LARGE(Pipeline!$N$7:$N$67,4),Pipeline!$N$7:$N$67,0))),"")</f>
        <v>Galvaceros</v>
      </c>
      <c r="C20" s="30" t="str">
        <f>IFERROR(IF(INDEX(Pipeline!$C$7:$C$67,MATCH(LARGE(Pipeline!$N$7:$N$67,4),Pipeline!$N$7:$N$67,0))="","—",INDEX(Pipeline!$C$7:$C$67,MATCH(LARGE(Pipeline!$N$7:$N$67,4),Pipeline!$N$7:$N$67,0))),"")</f>
        <v>Colegios Sucre</v>
      </c>
      <c r="D20" s="30" t="str">
        <f>IFERROR(IF(INDEX(Pipeline!$E$7:$E$67,MATCH(LARGE(Pipeline!$N$7:$N$67,4),Pipeline!$N$7:$N$67,0))="","—",INDEX(Pipeline!$E$7:$E$67,MATCH(LARGE(Pipeline!$N$7:$N$67,4),Pipeline!$N$7:$N$67,0))),"")</f>
        <v>Colombia</v>
      </c>
      <c r="E20" s="30" t="str">
        <f>IFERROR(IF(INDEX(Pipeline!$F$7:$F$67,MATCH(LARGE(Pipeline!$N$7:$N$67,4),Pipeline!$N$7:$N$67,0))="","—",INDEX(Pipeline!$F$7:$F$67,MATCH(LARGE(Pipeline!$N$7:$N$67,4),Pipeline!$N$7:$N$67,0))),"")</f>
        <v>KingRoof</v>
      </c>
      <c r="F20" s="30" t="str">
        <f>IFERROR(IF(INDEX(Pipeline!$D$7:$D$67,MATCH(LARGE(Pipeline!$N$7:$N$67,4),Pipeline!$N$7:$N$67,0))="","—",INDEX(Pipeline!$D$7:$D$67,MATCH(LARGE(Pipeline!$N$7:$N$67,4),Pipeline!$N$7:$N$67,0))),"")</f>
        <v>Joana Perez</v>
      </c>
      <c r="G20" s="49">
        <f>IFERROR(IF(INDEX(Pipeline!$G$7:$G$67,MATCH(LARGE(Pipeline!$N$7:$N$67,4),Pipeline!$N$7:$N$67,0))="","—",INDEX(Pipeline!$G$7:$G$67,MATCH(LARGE(Pipeline!$N$7:$N$67,4),Pipeline!$N$7:$N$67,0))),"")</f>
        <v>14000</v>
      </c>
      <c r="H20" s="58">
        <f>IFERROR(IF(INDEX(Pipeline!$H$7:$H$67,MATCH(LARGE(Pipeline!$N$7:$N$67,4),Pipeline!$N$7:$N$67,0))="","—",INDEX(Pipeline!$H$7:$H$67,MATCH(LARGE(Pipeline!$N$7:$N$67,4),Pipeline!$N$7:$N$67,0))),"")</f>
        <v>333529</v>
      </c>
      <c r="I20" s="30" t="str">
        <f>IFERROR(IF(INDEX(Pipeline!$I$7:$I$67,MATCH(LARGE(Pipeline!$N$7:$N$67,4),Pipeline!$N$7:$N$67,0))="","—",INDEX(Pipeline!$I$7:$I$67,MATCH(LARGE(Pipeline!$N$7:$N$67,4),Pipeline!$N$7:$N$67,0))),"")</f>
        <v>Pending</v>
      </c>
      <c r="J20" s="45">
        <f>IFERROR(IF(INDEX(Pipeline!$J$7:$J$67,MATCH(LARGE(Pipeline!$N$7:$N$67,4),Pipeline!$N$7:$N$67,0))="","—",INDEX(Pipeline!$J$7:$J$67,MATCH(LARGE(Pipeline!$N$7:$N$67,4),Pipeline!$N$7:$N$67,0))),"")</f>
        <v>0.82</v>
      </c>
      <c r="K20" s="59" t="str">
        <f>IFERROR(IF(INDEX(Pipeline!$K$7:$K$67,MATCH(LARGE(Pipeline!$N$7:$N$67,4),Pipeline!$N$7:$N$67,0))="","—",INDEX(Pipeline!$K$7:$K$67,MATCH(LARGE(Pipeline!$N$7:$N$67,4),Pipeline!$N$7:$N$67,0))),"")</f>
        <v>Noviembre</v>
      </c>
      <c r="L20" s="58">
        <f>IFERROR(IF(INDEX(Pipeline!$L$7:$L$67,MATCH(LARGE(Pipeline!$N$7:$N$67,4),Pipeline!$N$7:$N$67,0))="","—",INDEX(Pipeline!$L$7:$L$67,MATCH(LARGE(Pipeline!$N$7:$N$67,4),Pipeline!$N$7:$N$67,0))),"")</f>
        <v>273493.77999999997</v>
      </c>
    </row>
    <row r="21" spans="1:12" x14ac:dyDescent="0.25">
      <c r="A21" s="32">
        <v>5</v>
      </c>
      <c r="B21" s="30" t="str">
        <f>IFERROR(IF(INDEX(Pipeline!$B$7:$B$67,MATCH(LARGE(Pipeline!$N$7:$N$67,5),Pipeline!$N$7:$N$67,0))="","—",INDEX(Pipeline!$B$7:$B$67,MATCH(LARGE(Pipeline!$N$7:$N$67,5),Pipeline!$N$7:$N$67,0))),"")</f>
        <v>Espuma SantaFe</v>
      </c>
      <c r="C21" s="30" t="str">
        <f>IFERROR(IF(INDEX(Pipeline!$C$7:$C$67,MATCH(LARGE(Pipeline!$N$7:$N$67,5),Pipeline!$N$7:$N$67,0))="","—",INDEX(Pipeline!$C$7:$C$67,MATCH(LARGE(Pipeline!$N$7:$N$67,5),Pipeline!$N$7:$N$67,0))),"")</f>
        <v>Recambio</v>
      </c>
      <c r="D21" s="30" t="str">
        <f>IFERROR(IF(INDEX(Pipeline!$E$7:$E$67,MATCH(LARGE(Pipeline!$N$7:$N$67,5),Pipeline!$N$7:$N$67,0))="","—",INDEX(Pipeline!$E$7:$E$67,MATCH(LARGE(Pipeline!$N$7:$N$67,5),Pipeline!$N$7:$N$67,0))),"")</f>
        <v>Colombia</v>
      </c>
      <c r="E21" s="30" t="str">
        <f>IFERROR(IF(INDEX(Pipeline!$F$7:$F$67,MATCH(LARGE(Pipeline!$N$7:$N$67,5),Pipeline!$N$7:$N$67,0))="","—",INDEX(Pipeline!$F$7:$F$67,MATCH(LARGE(Pipeline!$N$7:$N$67,5),Pipeline!$N$7:$N$67,0))),"")</f>
        <v>KingRoof / KingWall</v>
      </c>
      <c r="F21" s="30" t="str">
        <f>IFERROR(IF(INDEX(Pipeline!$D$7:$D$67,MATCH(LARGE(Pipeline!$N$7:$N$67,5),Pipeline!$N$7:$N$67,0))="","—",INDEX(Pipeline!$D$7:$D$67,MATCH(LARGE(Pipeline!$N$7:$N$67,5),Pipeline!$N$7:$N$67,0))),"")</f>
        <v>Henry Acosta</v>
      </c>
      <c r="G21" s="49">
        <v>2088</v>
      </c>
      <c r="H21" s="58">
        <f>IFERROR(IF(INDEX(Pipeline!$H$7:$H$67,MATCH(LARGE(Pipeline!$N$7:$N$67,5),Pipeline!$N$7:$N$67,0))="","—",INDEX(Pipeline!$H$7:$H$67,MATCH(LARGE(Pipeline!$N$7:$N$67,5),Pipeline!$N$7:$N$67,0))),"")</f>
        <v>152072</v>
      </c>
      <c r="I21" s="30" t="s">
        <v>631</v>
      </c>
      <c r="J21" s="45">
        <v>1</v>
      </c>
      <c r="K21" s="59" t="s">
        <v>632</v>
      </c>
      <c r="L21" s="58">
        <f>IFERROR(IF(INDEX(Pipeline!$L$7:$L$67,MATCH(LARGE(Pipeline!$N$7:$N$67,5),Pipeline!$N$7:$N$67,0))="","—",INDEX(Pipeline!$L$7:$L$67,MATCH(LARGE(Pipeline!$N$7:$N$67,5),Pipeline!$N$7:$N$67,0))),"")</f>
        <v>121657.60000000001</v>
      </c>
    </row>
    <row r="22" spans="1:12" x14ac:dyDescent="0.25">
      <c r="B22" s="33" t="s">
        <v>203</v>
      </c>
      <c r="G22" s="34">
        <f>SUM(G17:G21)</f>
        <v>53722</v>
      </c>
      <c r="H22" s="60">
        <f>SUM(H17:H21)</f>
        <v>1751877.71</v>
      </c>
    </row>
    <row r="24" spans="1:12" x14ac:dyDescent="0.25">
      <c r="B24" s="26" t="s">
        <v>205</v>
      </c>
      <c r="H24" s="28">
        <f>H13/SUMIFS(Pipeline!H7:H67,Pipeline!A7:A67,"Industrial")</f>
        <v>0.41998587604525656</v>
      </c>
    </row>
    <row r="25" spans="1:12" x14ac:dyDescent="0.25">
      <c r="B25" s="26" t="s">
        <v>206</v>
      </c>
      <c r="H25" s="28">
        <f>H22/SUMIFS(Pipeline!H7:H67,Pipeline!A7:A67,"Distribución")</f>
        <v>0.71228824173445737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61530"/>
  </sheetPr>
  <dimension ref="A1:L35"/>
  <sheetViews>
    <sheetView showGridLines="0" zoomScaleNormal="100" workbookViewId="0">
      <selection activeCell="G10" sqref="G10"/>
    </sheetView>
  </sheetViews>
  <sheetFormatPr baseColWidth="10" defaultColWidth="8.7109375" defaultRowHeight="15" x14ac:dyDescent="0.25"/>
  <cols>
    <col min="1" max="1" width="5" customWidth="1"/>
    <col min="2" max="2" width="40" customWidth="1"/>
    <col min="3" max="3" width="26" customWidth="1"/>
    <col min="4" max="5" width="16" customWidth="1"/>
    <col min="6" max="6" width="22" customWidth="1"/>
    <col min="7" max="7" width="11" customWidth="1"/>
    <col min="8" max="9" width="14" customWidth="1"/>
    <col min="10" max="10" width="9" customWidth="1"/>
    <col min="11" max="11" width="12" customWidth="1"/>
    <col min="12" max="12" width="15" customWidth="1"/>
  </cols>
  <sheetData>
    <row r="1" spans="1:12" ht="18" customHeight="1" x14ac:dyDescent="0.25">
      <c r="A1" s="2" t="s">
        <v>207</v>
      </c>
    </row>
    <row r="2" spans="1:12" x14ac:dyDescent="0.25">
      <c r="A2" s="24" t="s">
        <v>208</v>
      </c>
    </row>
    <row r="6" spans="1:12" x14ac:dyDescent="0.25">
      <c r="A6" s="3" t="s">
        <v>209</v>
      </c>
    </row>
    <row r="7" spans="1:12" ht="30" customHeight="1" x14ac:dyDescent="0.25">
      <c r="A7" s="25" t="s">
        <v>47</v>
      </c>
      <c r="B7" s="25" t="s">
        <v>195</v>
      </c>
      <c r="C7" s="25" t="s">
        <v>83</v>
      </c>
      <c r="D7" s="25" t="s">
        <v>196</v>
      </c>
      <c r="E7" s="25" t="s">
        <v>197</v>
      </c>
      <c r="F7" s="25" t="s">
        <v>198</v>
      </c>
      <c r="G7" s="25" t="s">
        <v>36</v>
      </c>
      <c r="H7" s="25" t="s">
        <v>199</v>
      </c>
      <c r="I7" s="25" t="s">
        <v>165</v>
      </c>
      <c r="J7" s="25" t="s">
        <v>200</v>
      </c>
      <c r="K7" s="25" t="s">
        <v>201</v>
      </c>
      <c r="L7" s="25" t="s">
        <v>202</v>
      </c>
    </row>
    <row r="8" spans="1:12" x14ac:dyDescent="0.25">
      <c r="A8" s="32">
        <v>1</v>
      </c>
      <c r="B8" s="30" t="str">
        <f>IFERROR(IF(INDEX(Pipeline!$B$7:$B$67,MATCH(LARGE(Pipeline!$O$7:$O$67,1),Pipeline!$O$7:$O$67,0))="","—",INDEX(Pipeline!$B$7:$B$67,MATCH(LARGE(Pipeline!$O$7:$O$67,1),Pipeline!$O$7:$O$67,0))),"")</f>
        <v>Construplan</v>
      </c>
      <c r="C8" s="30" t="str">
        <f>IFERROR(IF(INDEX(Pipeline!$C$7:$C$67,MATCH(LARGE(Pipeline!$O$7:$O$67,1),Pipeline!$O$7:$O$67,0))="","—",INDEX(Pipeline!$C$7:$C$67,MATCH(LARGE(Pipeline!$O$7:$O$67,1),Pipeline!$O$7:$O$67,0))),"")</f>
        <v>Walmart</v>
      </c>
      <c r="D8" s="30" t="str">
        <f>IFERROR(IF(INDEX(Pipeline!$E$7:$E$67,MATCH(LARGE(Pipeline!$O$7:$O$67,1),Pipeline!$O$7:$O$67,0))="","—",INDEX(Pipeline!$E$7:$E$67,MATCH(LARGE(Pipeline!$O$7:$O$67,1),Pipeline!$O$7:$O$67,0))),"")</f>
        <v>Guatemala</v>
      </c>
      <c r="E8" s="30" t="str">
        <f>IFERROR(IF(INDEX(Pipeline!$F$7:$F$67,MATCH(LARGE(Pipeline!$O$7:$O$67,1),Pipeline!$O$7:$O$67,0))="","—",INDEX(Pipeline!$F$7:$F$67,MATCH(LARGE(Pipeline!$O$7:$O$67,1),Pipeline!$O$7:$O$67,0))),"")</f>
        <v>King Wall / King Frio / King Roof</v>
      </c>
      <c r="F8" s="30" t="str">
        <f>IFERROR(IF(INDEX(Pipeline!$D$7:$D$67,MATCH(LARGE(Pipeline!$O$7:$O$67,1),Pipeline!$O$7:$O$67,0))="","—",INDEX(Pipeline!$D$7:$D$67,MATCH(LARGE(Pipeline!$O$7:$O$67,1),Pipeline!$O$7:$O$67,0))),"")</f>
        <v>Carlos Rodriguez</v>
      </c>
      <c r="G8" s="49">
        <f>IFERROR(IF(INDEX(Pipeline!$G$7:$G$67,MATCH(LARGE(Pipeline!$O$7:$O$67,1),Pipeline!$O$7:$O$67,0))="","—",INDEX(Pipeline!$G$7:$G$67,MATCH(LARGE(Pipeline!$O$7:$O$67,1),Pipeline!$O$7:$O$67,0))),"")</f>
        <v>100000</v>
      </c>
      <c r="H8" s="58">
        <f>IFERROR(IF(INDEX(Pipeline!$H$7:$H$67,MATCH(LARGE(Pipeline!$O$7:$O$67,1),Pipeline!$O$7:$O$67,0))="","—",INDEX(Pipeline!$H$7:$H$67,MATCH(LARGE(Pipeline!$O$7:$O$67,1),Pipeline!$O$7:$O$67,0))),"")</f>
        <v>2787794</v>
      </c>
      <c r="I8" s="30" t="str">
        <f>IFERROR(IF(INDEX(Pipeline!$I$7:$I$67,MATCH(LARGE(Pipeline!$O$7:$O$67,1),Pipeline!$O$7:$O$67,0))="","—",INDEX(Pipeline!$I$7:$I$67,MATCH(LARGE(Pipeline!$O$7:$O$67,1),Pipeline!$O$7:$O$67,0))),"")</f>
        <v>Specification</v>
      </c>
      <c r="J8" s="45">
        <f>IFERROR(IF(INDEX(Pipeline!$J$7:$J$67,MATCH(LARGE(Pipeline!$O$7:$O$67,1),Pipeline!$O$7:$O$67,0))="","—",INDEX(Pipeline!$J$7:$J$67,MATCH(LARGE(Pipeline!$O$7:$O$67,1),Pipeline!$O$7:$O$67,0))),"")</f>
        <v>0.75</v>
      </c>
      <c r="K8" s="59" t="str">
        <f>IFERROR(IF(INDEX(Pipeline!$K$7:$K$67,MATCH(LARGE(Pipeline!$O$7:$O$67,1),Pipeline!$O$7:$O$67,0))="","—",INDEX(Pipeline!$K$7:$K$67,MATCH(LARGE(Pipeline!$O$7:$O$67,1),Pipeline!$O$7:$O$67,0))),"")</f>
        <v>Noviembre</v>
      </c>
      <c r="L8" s="58">
        <f>IFERROR(IF(INDEX(Pipeline!$L$7:$L$67,MATCH(LARGE(Pipeline!$O$7:$O$67,1),Pipeline!$O$7:$O$67,0))="","—",INDEX(Pipeline!$L$7:$L$67,MATCH(LARGE(Pipeline!$O$7:$O$67,1),Pipeline!$O$7:$O$67,0))),"")</f>
        <v>2090845.5</v>
      </c>
    </row>
    <row r="9" spans="1:12" x14ac:dyDescent="0.25">
      <c r="A9" s="32">
        <v>2</v>
      </c>
      <c r="B9" s="30" t="str">
        <f>IFERROR(IF(INDEX(Pipeline!$B$7:$B$67,MATCH(LARGE(Pipeline!$O$7:$O$67,2),Pipeline!$O$7:$O$67,0))="","—",INDEX(Pipeline!$B$7:$B$67,MATCH(LARGE(Pipeline!$O$7:$O$67,2),Pipeline!$O$7:$O$67,0))),"")</f>
        <v>Haceb</v>
      </c>
      <c r="C9" s="30" t="str">
        <f>IFERROR(IF(INDEX(Pipeline!$C$7:$C$67,MATCH(LARGE(Pipeline!$O$7:$O$67,2),Pipeline!$O$7:$O$67,0))="","—",INDEX(Pipeline!$C$7:$C$67,MATCH(LARGE(Pipeline!$O$7:$O$67,2),Pipeline!$O$7:$O$67,0))),"")</f>
        <v>Recambio</v>
      </c>
      <c r="D9" s="30" t="str">
        <f>IFERROR(IF(INDEX(Pipeline!$E$7:$E$67,MATCH(LARGE(Pipeline!$O$7:$O$67,2),Pipeline!$O$7:$O$67,0))="","—",INDEX(Pipeline!$E$7:$E$67,MATCH(LARGE(Pipeline!$O$7:$O$67,2),Pipeline!$O$7:$O$67,0))),"")</f>
        <v>Colombia</v>
      </c>
      <c r="E9" s="30" t="str">
        <f>IFERROR(IF(INDEX(Pipeline!$F$7:$F$67,MATCH(LARGE(Pipeline!$O$7:$O$67,2),Pipeline!$O$7:$O$67,0))="","—",INDEX(Pipeline!$F$7:$F$67,MATCH(LARGE(Pipeline!$O$7:$O$67,2),Pipeline!$O$7:$O$67,0))),"")</f>
        <v>KingWall / KingRoof</v>
      </c>
      <c r="F9" s="30" t="str">
        <f>IFERROR(IF(INDEX(Pipeline!$D$7:$D$67,MATCH(LARGE(Pipeline!$O$7:$O$67,2),Pipeline!$O$7:$O$67,0))="","—",INDEX(Pipeline!$D$7:$D$67,MATCH(LARGE(Pipeline!$O$7:$O$67,2),Pipeline!$O$7:$O$67,0))),"")</f>
        <v>Ana Arias</v>
      </c>
      <c r="G9" s="49">
        <f>IFERROR(IF(INDEX(Pipeline!$G$7:$G$67,MATCH(LARGE(Pipeline!$O$7:$O$67,2),Pipeline!$O$7:$O$67,0))="","—",INDEX(Pipeline!$G$7:$G$67,MATCH(LARGE(Pipeline!$O$7:$O$67,2),Pipeline!$O$7:$O$67,0))),"")</f>
        <v>61000</v>
      </c>
      <c r="H9" s="58">
        <f>IFERROR(IF(INDEX(Pipeline!$H$7:$H$67,MATCH(LARGE(Pipeline!$O$7:$O$67,2),Pipeline!$O$7:$O$67,0))="","—",INDEX(Pipeline!$H$7:$H$67,MATCH(LARGE(Pipeline!$O$7:$O$67,2),Pipeline!$O$7:$O$67,0))),"")</f>
        <v>1700505</v>
      </c>
      <c r="I9" s="30" t="str">
        <f>IFERROR(IF(INDEX(Pipeline!$I$7:$I$67,MATCH(LARGE(Pipeline!$O$7:$O$67,2),Pipeline!$O$7:$O$67,0))="","—",INDEX(Pipeline!$I$7:$I$67,MATCH(LARGE(Pipeline!$O$7:$O$67,2),Pipeline!$O$7:$O$67,0))),"")</f>
        <v>Pending</v>
      </c>
      <c r="J9" s="45">
        <f>IFERROR(IF(INDEX(Pipeline!$J$7:$J$67,MATCH(LARGE(Pipeline!$O$7:$O$67,2),Pipeline!$O$7:$O$67,0))="","—",INDEX(Pipeline!$J$7:$J$67,MATCH(LARGE(Pipeline!$O$7:$O$67,2),Pipeline!$O$7:$O$67,0))),"")</f>
        <v>0.8</v>
      </c>
      <c r="K9" s="59" t="str">
        <f>IFERROR(IF(INDEX(Pipeline!$K$7:$K$67,MATCH(LARGE(Pipeline!$O$7:$O$67,2),Pipeline!$O$7:$O$67,0))="","—",INDEX(Pipeline!$K$7:$K$67,MATCH(LARGE(Pipeline!$O$7:$O$67,2),Pipeline!$O$7:$O$67,0))),"")</f>
        <v>Noviembre</v>
      </c>
      <c r="L9" s="58">
        <f>IFERROR(IF(INDEX(Pipeline!$L$7:$L$67,MATCH(LARGE(Pipeline!$O$7:$O$67,2),Pipeline!$O$7:$O$67,0))="","—",INDEX(Pipeline!$L$7:$L$67,MATCH(LARGE(Pipeline!$O$7:$O$67,2),Pipeline!$O$7:$O$67,0))),"")</f>
        <v>1360404</v>
      </c>
    </row>
    <row r="10" spans="1:12" x14ac:dyDescent="0.25">
      <c r="A10" s="32">
        <v>3</v>
      </c>
      <c r="B10" s="30" t="str">
        <f>IFERROR(IF(INDEX(Pipeline!$B$7:$B$67,MATCH(LARGE(Pipeline!$O$7:$O$67,3),Pipeline!$O$7:$O$67,0))="","—",INDEX(Pipeline!$B$7:$B$67,MATCH(LARGE(Pipeline!$O$7:$O$67,3),Pipeline!$O$7:$O$67,0))),"")</f>
        <v>Conmetal</v>
      </c>
      <c r="C10" s="30" t="str">
        <f>IFERROR(IF(INDEX(Pipeline!$C$7:$C$67,MATCH(LARGE(Pipeline!$O$7:$O$67,3),Pipeline!$O$7:$O$67,0))="","—",INDEX(Pipeline!$C$7:$C$67,MATCH(LARGE(Pipeline!$O$7:$O$67,3),Pipeline!$O$7:$O$67,0))),"")</f>
        <v>Bodegas AMT</v>
      </c>
      <c r="D10" s="30" t="str">
        <f>IFERROR(IF(INDEX(Pipeline!$E$7:$E$67,MATCH(LARGE(Pipeline!$O$7:$O$67,3),Pipeline!$O$7:$O$67,0))="","—",INDEX(Pipeline!$E$7:$E$67,MATCH(LARGE(Pipeline!$O$7:$O$67,3),Pipeline!$O$7:$O$67,0))),"")</f>
        <v>Guatemala</v>
      </c>
      <c r="E10" s="30" t="str">
        <f>IFERROR(IF(INDEX(Pipeline!$F$7:$F$67,MATCH(LARGE(Pipeline!$O$7:$O$67,3),Pipeline!$O$7:$O$67,0))="","—",INDEX(Pipeline!$F$7:$F$67,MATCH(LARGE(Pipeline!$O$7:$O$67,3),Pipeline!$O$7:$O$67,0))),"")</f>
        <v>KingRoof / KingWall</v>
      </c>
      <c r="F10" s="30" t="str">
        <f>IFERROR(IF(INDEX(Pipeline!$D$7:$D$67,MATCH(LARGE(Pipeline!$O$7:$O$67,3),Pipeline!$O$7:$O$67,0))="","—",INDEX(Pipeline!$D$7:$D$67,MATCH(LARGE(Pipeline!$O$7:$O$67,3),Pipeline!$O$7:$O$67,0))),"")</f>
        <v>Carlos Rodriguez</v>
      </c>
      <c r="G10" s="49">
        <f>IFERROR(IF(INDEX(Pipeline!$G$7:$G$67,MATCH(LARGE(Pipeline!$O$7:$O$67,3),Pipeline!$O$7:$O$67,0))="","—",INDEX(Pipeline!$G$7:$G$67,MATCH(LARGE(Pipeline!$O$7:$O$67,3),Pipeline!$O$7:$O$67,0))),"")</f>
        <v>50000</v>
      </c>
      <c r="H10" s="58">
        <f>IFERROR(IF(INDEX(Pipeline!$H$7:$H$67,MATCH(LARGE(Pipeline!$O$7:$O$67,3),Pipeline!$O$7:$O$67,0))="","—",INDEX(Pipeline!$H$7:$H$67,MATCH(LARGE(Pipeline!$O$7:$O$67,3),Pipeline!$O$7:$O$67,0))),"")</f>
        <v>1200000</v>
      </c>
      <c r="I10" s="30" t="str">
        <f>IFERROR(IF(INDEX(Pipeline!$I$7:$I$67,MATCH(LARGE(Pipeline!$O$7:$O$67,3),Pipeline!$O$7:$O$67,0))="","—",INDEX(Pipeline!$I$7:$I$67,MATCH(LARGE(Pipeline!$O$7:$O$67,3),Pipeline!$O$7:$O$67,0))),"")</f>
        <v>Pending</v>
      </c>
      <c r="J10" s="45">
        <f>IFERROR(IF(INDEX(Pipeline!$J$7:$J$67,MATCH(LARGE(Pipeline!$O$7:$O$67,3),Pipeline!$O$7:$O$67,0))="","—",INDEX(Pipeline!$J$7:$J$67,MATCH(LARGE(Pipeline!$O$7:$O$67,3),Pipeline!$O$7:$O$67,0))),"")</f>
        <v>0.6</v>
      </c>
      <c r="K10" s="59" t="str">
        <f>IFERROR(IF(INDEX(Pipeline!$K$7:$K$67,MATCH(LARGE(Pipeline!$O$7:$O$67,3),Pipeline!$O$7:$O$67,0))="","—",INDEX(Pipeline!$K$7:$K$67,MATCH(LARGE(Pipeline!$O$7:$O$67,3),Pipeline!$O$7:$O$67,0))),"")</f>
        <v>Diciembre</v>
      </c>
      <c r="L10" s="58">
        <f>IFERROR(IF(INDEX(Pipeline!$L$7:$L$67,MATCH(LARGE(Pipeline!$O$7:$O$67,3),Pipeline!$O$7:$O$67,0))="","—",INDEX(Pipeline!$L$7:$L$67,MATCH(LARGE(Pipeline!$O$7:$O$67,3),Pipeline!$O$7:$O$67,0))),"")</f>
        <v>720000</v>
      </c>
    </row>
    <row r="11" spans="1:12" x14ac:dyDescent="0.25">
      <c r="A11" s="32">
        <v>4</v>
      </c>
      <c r="B11" s="30" t="str">
        <f>IFERROR(IF(INDEX(Pipeline!$B$7:$B$67,MATCH(LARGE(Pipeline!$O$7:$O$67,4),Pipeline!$O$7:$O$67,0))="","—",INDEX(Pipeline!$B$7:$B$67,MATCH(LARGE(Pipeline!$O$7:$O$67,4),Pipeline!$O$7:$O$67,0))),"")</f>
        <v>Imbert Dominguez</v>
      </c>
      <c r="C11" s="30" t="str">
        <f>IFERROR(IF(INDEX(Pipeline!$C$7:$C$67,MATCH(LARGE(Pipeline!$O$7:$O$67,4),Pipeline!$O$7:$O$67,0))="","—",INDEX(Pipeline!$C$7:$C$67,MATCH(LARGE(Pipeline!$O$7:$O$67,4),Pipeline!$O$7:$O$67,0))),"")</f>
        <v>INDAL-IDA</v>
      </c>
      <c r="D11" s="30" t="str">
        <f>IFERROR(IF(INDEX(Pipeline!$E$7:$E$67,MATCH(LARGE(Pipeline!$O$7:$O$67,4),Pipeline!$O$7:$O$67,0))="","—",INDEX(Pipeline!$E$7:$E$67,MATCH(LARGE(Pipeline!$O$7:$O$67,4),Pipeline!$O$7:$O$67,0))),"")</f>
        <v>Dominicana</v>
      </c>
      <c r="E11" s="30" t="str">
        <f>IFERROR(IF(INDEX(Pipeline!$F$7:$F$67,MATCH(LARGE(Pipeline!$O$7:$O$67,4),Pipeline!$O$7:$O$67,0))="","—",INDEX(Pipeline!$F$7:$F$67,MATCH(LARGE(Pipeline!$O$7:$O$67,4),Pipeline!$O$7:$O$67,0))),"")</f>
        <v>KingRoof / KingWall / KingFrigo</v>
      </c>
      <c r="F11" s="30" t="str">
        <f>IFERROR(IF(INDEX(Pipeline!$D$7:$D$67,MATCH(LARGE(Pipeline!$O$7:$O$67,4),Pipeline!$O$7:$O$67,0))="","—",INDEX(Pipeline!$D$7:$D$67,MATCH(LARGE(Pipeline!$O$7:$O$67,4),Pipeline!$O$7:$O$67,0))),"")</f>
        <v>Laura Torres</v>
      </c>
      <c r="G11" s="49">
        <f>IFERROR(IF(INDEX(Pipeline!$G$7:$G$67,MATCH(LARGE(Pipeline!$O$7:$O$67,4),Pipeline!$O$7:$O$67,0))="","—",INDEX(Pipeline!$G$7:$G$67,MATCH(LARGE(Pipeline!$O$7:$O$67,4),Pipeline!$O$7:$O$67,0))),"")</f>
        <v>50000</v>
      </c>
      <c r="H11" s="58">
        <f>IFERROR(IF(INDEX(Pipeline!$H$7:$H$67,MATCH(LARGE(Pipeline!$O$7:$O$67,4),Pipeline!$O$7:$O$67,0))="","—",INDEX(Pipeline!$H$7:$H$67,MATCH(LARGE(Pipeline!$O$7:$O$67,4),Pipeline!$O$7:$O$67,0))),"")</f>
        <v>1550000</v>
      </c>
      <c r="I11" s="30" t="str">
        <f>IFERROR(IF(INDEX(Pipeline!$I$7:$I$67,MATCH(LARGE(Pipeline!$O$7:$O$67,4),Pipeline!$O$7:$O$67,0))="","—",INDEX(Pipeline!$I$7:$I$67,MATCH(LARGE(Pipeline!$O$7:$O$67,4),Pipeline!$O$7:$O$67,0))),"")</f>
        <v>Pending</v>
      </c>
      <c r="J11" s="45">
        <f>IFERROR(IF(INDEX(Pipeline!$J$7:$J$67,MATCH(LARGE(Pipeline!$O$7:$O$67,4),Pipeline!$O$7:$O$67,0))="","—",INDEX(Pipeline!$J$7:$J$67,MATCH(LARGE(Pipeline!$O$7:$O$67,4),Pipeline!$O$7:$O$67,0))),"")</f>
        <v>0.75</v>
      </c>
      <c r="K11" s="59" t="str">
        <f>IFERROR(IF(INDEX(Pipeline!$K$7:$K$67,MATCH(LARGE(Pipeline!$O$7:$O$67,4),Pipeline!$O$7:$O$67,0))="","—",INDEX(Pipeline!$K$7:$K$67,MATCH(LARGE(Pipeline!$O$7:$O$67,4),Pipeline!$O$7:$O$67,0))),"")</f>
        <v>Noviembre</v>
      </c>
      <c r="L11" s="58">
        <f>IFERROR(IF(INDEX(Pipeline!$L$7:$L$67,MATCH(LARGE(Pipeline!$O$7:$O$67,4),Pipeline!$O$7:$O$67,0))="","—",INDEX(Pipeline!$L$7:$L$67,MATCH(LARGE(Pipeline!$O$7:$O$67,4),Pipeline!$O$7:$O$67,0))),"")</f>
        <v>1162500</v>
      </c>
    </row>
    <row r="12" spans="1:12" x14ac:dyDescent="0.25">
      <c r="A12" s="32">
        <v>5</v>
      </c>
      <c r="B12" s="30" t="str">
        <f>IFERROR(IF(INDEX(Pipeline!$B$7:$B$67,MATCH(LARGE(Pipeline!$O$7:$O$67,5),Pipeline!$O$7:$O$67,0))="","—",INDEX(Pipeline!$B$7:$B$67,MATCH(LARGE(Pipeline!$O$7:$O$67,5),Pipeline!$O$7:$O$67,0))),"")</f>
        <v>Magnetron</v>
      </c>
      <c r="C12" s="30" t="str">
        <f>IFERROR(IF(INDEX(Pipeline!$C$7:$C$67,MATCH(LARGE(Pipeline!$O$7:$O$67,5),Pipeline!$O$7:$O$67,0))="","—",INDEX(Pipeline!$C$7:$C$67,MATCH(LARGE(Pipeline!$O$7:$O$67,5),Pipeline!$O$7:$O$67,0))),"")</f>
        <v>—</v>
      </c>
      <c r="D12" s="30" t="str">
        <f>IFERROR(IF(INDEX(Pipeline!$E$7:$E$67,MATCH(LARGE(Pipeline!$O$7:$O$67,5),Pipeline!$O$7:$O$67,0))="","—",INDEX(Pipeline!$E$7:$E$67,MATCH(LARGE(Pipeline!$O$7:$O$67,5),Pipeline!$O$7:$O$67,0))),"")</f>
        <v>Colombia</v>
      </c>
      <c r="E12" s="30" t="str">
        <f>IFERROR(IF(INDEX(Pipeline!$F$7:$F$67,MATCH(LARGE(Pipeline!$O$7:$O$67,5),Pipeline!$O$7:$O$67,0))="","—",INDEX(Pipeline!$F$7:$F$67,MATCH(LARGE(Pipeline!$O$7:$O$67,5),Pipeline!$O$7:$O$67,0))),"")</f>
        <v>KingRoof, KingMetalRoof, KingWall</v>
      </c>
      <c r="F12" s="30" t="str">
        <f>IFERROR(IF(INDEX(Pipeline!$D$7:$D$67,MATCH(LARGE(Pipeline!$O$7:$O$67,5),Pipeline!$O$7:$O$67,0))="","—",INDEX(Pipeline!$D$7:$D$67,MATCH(LARGE(Pipeline!$O$7:$O$67,5),Pipeline!$O$7:$O$67,0))),"")</f>
        <v>Julio Guerrero</v>
      </c>
      <c r="G12" s="49">
        <f>IFERROR(IF(INDEX(Pipeline!$G$7:$G$67,MATCH(LARGE(Pipeline!$O$7:$O$67,5),Pipeline!$O$7:$O$67,0))="","—",INDEX(Pipeline!$G$7:$G$67,MATCH(LARGE(Pipeline!$O$7:$O$67,5),Pipeline!$O$7:$O$67,0))),"")</f>
        <v>45000</v>
      </c>
      <c r="H12" s="58">
        <f>IFERROR(IF(INDEX(Pipeline!$H$7:$H$67,MATCH(LARGE(Pipeline!$O$7:$O$67,5),Pipeline!$O$7:$O$67,0))="","—",INDEX(Pipeline!$H$7:$H$67,MATCH(LARGE(Pipeline!$O$7:$O$67,5),Pipeline!$O$7:$O$67,0))),"")</f>
        <v>892114</v>
      </c>
      <c r="I12" s="30" t="str">
        <f>IFERROR(IF(INDEX(Pipeline!$I$7:$I$67,MATCH(LARGE(Pipeline!$O$7:$O$67,5),Pipeline!$O$7:$O$67,0))="","—",INDEX(Pipeline!$I$7:$I$67,MATCH(LARGE(Pipeline!$O$7:$O$67,5),Pipeline!$O$7:$O$67,0))),"")</f>
        <v>Pending</v>
      </c>
      <c r="J12" s="45" t="str">
        <f>IFERROR(IF(INDEX(Pipeline!$J$7:$J$67,MATCH(LARGE(Pipeline!$O$7:$O$67,5),Pipeline!$O$7:$O$67,0))="","—",INDEX(Pipeline!$J$7:$J$67,MATCH(LARGE(Pipeline!$O$7:$O$67,5),Pipeline!$O$7:$O$67,0))),"")</f>
        <v>—</v>
      </c>
      <c r="K12" s="59" t="str">
        <f>IFERROR(IF(INDEX(Pipeline!$K$7:$K$67,MATCH(LARGE(Pipeline!$O$7:$O$67,5),Pipeline!$O$7:$O$67,0))="","—",INDEX(Pipeline!$K$7:$K$67,MATCH(LARGE(Pipeline!$O$7:$O$67,5),Pipeline!$O$7:$O$67,0))),"")</f>
        <v>—</v>
      </c>
      <c r="L12" s="58" t="str">
        <f>IFERROR(IF(INDEX(Pipeline!$L$7:$L$67,MATCH(LARGE(Pipeline!$O$7:$O$67,5),Pipeline!$O$7:$O$67,0))="","—",INDEX(Pipeline!$L$7:$L$67,MATCH(LARGE(Pipeline!$O$7:$O$67,5),Pipeline!$O$7:$O$67,0))),"")</f>
        <v>—</v>
      </c>
    </row>
    <row r="13" spans="1:12" x14ac:dyDescent="0.25">
      <c r="B13" s="33" t="s">
        <v>203</v>
      </c>
      <c r="G13" s="34">
        <f>SUM(G8:G12)</f>
        <v>306000</v>
      </c>
      <c r="H13" s="60">
        <f>SUM(H8:H12)</f>
        <v>8130413</v>
      </c>
    </row>
    <row r="15" spans="1:12" x14ac:dyDescent="0.25">
      <c r="A15" s="3" t="s">
        <v>210</v>
      </c>
    </row>
    <row r="16" spans="1:12" ht="30" customHeight="1" x14ac:dyDescent="0.25">
      <c r="A16" s="25" t="s">
        <v>47</v>
      </c>
      <c r="B16" s="25" t="s">
        <v>195</v>
      </c>
      <c r="C16" s="25" t="s">
        <v>83</v>
      </c>
      <c r="D16" s="25" t="s">
        <v>196</v>
      </c>
      <c r="E16" s="25" t="s">
        <v>197</v>
      </c>
      <c r="F16" s="25" t="s">
        <v>198</v>
      </c>
      <c r="G16" s="25" t="s">
        <v>36</v>
      </c>
      <c r="H16" s="25" t="s">
        <v>199</v>
      </c>
      <c r="I16" s="25" t="s">
        <v>165</v>
      </c>
      <c r="J16" s="25" t="s">
        <v>200</v>
      </c>
      <c r="K16" s="25" t="s">
        <v>201</v>
      </c>
      <c r="L16" s="25" t="s">
        <v>202</v>
      </c>
    </row>
    <row r="17" spans="1:12" x14ac:dyDescent="0.25">
      <c r="A17" s="32">
        <v>1</v>
      </c>
      <c r="B17" s="30" t="str">
        <f>IFERROR(IF(INDEX(Pipeline!$B$7:$B$67,MATCH(LARGE(Pipeline!$P$7:$P$67,1),Pipeline!$P$7:$P$67,0))="","—",INDEX(Pipeline!$B$7:$B$67,MATCH(LARGE(Pipeline!$P$7:$P$67,1),Pipeline!$P$7:$P$67,0))),"")</f>
        <v>Colcover</v>
      </c>
      <c r="C17" s="30" t="str">
        <f>IFERROR(IF(INDEX(Pipeline!$C$7:$C$67,MATCH(LARGE(Pipeline!$P$7:$P$67,1),Pipeline!$P$7:$P$67,0))="","—",INDEX(Pipeline!$C$7:$C$67,MATCH(LARGE(Pipeline!$P$7:$P$67,1),Pipeline!$P$7:$P$67,0))),"")</f>
        <v>Proyecto</v>
      </c>
      <c r="D17" s="30" t="str">
        <f>IFERROR(IF(INDEX(Pipeline!$E$7:$E$67,MATCH(LARGE(Pipeline!$P$7:$P$67,1),Pipeline!$P$7:$P$67,0))="","—",INDEX(Pipeline!$E$7:$E$67,MATCH(LARGE(Pipeline!$P$7:$P$67,1),Pipeline!$P$7:$P$67,0))),"")</f>
        <v>Colombia</v>
      </c>
      <c r="E17" s="30" t="str">
        <f>IFERROR(IF(INDEX(Pipeline!$F$7:$F$67,MATCH(LARGE(Pipeline!$P$7:$P$67,1),Pipeline!$P$7:$P$67,0))="","—",INDEX(Pipeline!$F$7:$F$67,MATCH(LARGE(Pipeline!$P$7:$P$67,1),Pipeline!$P$7:$P$67,0))),"")</f>
        <v>KingRoof</v>
      </c>
      <c r="F17" s="30" t="str">
        <f>IFERROR(IF(INDEX(Pipeline!$D$7:$D$67,MATCH(LARGE(Pipeline!$P$7:$P$67,1),Pipeline!$P$7:$P$67,0))="","—",INDEX(Pipeline!$D$7:$D$67,MATCH(LARGE(Pipeline!$P$7:$P$67,1),Pipeline!$P$7:$P$67,0))),"")</f>
        <v>Henry Acosta</v>
      </c>
      <c r="G17" s="49">
        <f>IFERROR(IF(INDEX(Pipeline!$G$7:$G$67,MATCH(LARGE(Pipeline!$P$7:$P$67,1),Pipeline!$P$7:$P$67,0))="","—",INDEX(Pipeline!$G$7:$G$67,MATCH(LARGE(Pipeline!$P$7:$P$67,1),Pipeline!$P$7:$P$67,0))),"")</f>
        <v>21528</v>
      </c>
      <c r="H17" s="58">
        <f>IFERROR(IF(INDEX(Pipeline!$H$7:$H$67,MATCH(LARGE(Pipeline!$P$7:$P$67,1),Pipeline!$P$7:$P$67,0))="","—",INDEX(Pipeline!$H$7:$H$67,MATCH(LARGE(Pipeline!$P$7:$P$67,1),Pipeline!$P$7:$P$67,0))),"")</f>
        <v>411564.71</v>
      </c>
      <c r="I17" s="30" t="str">
        <f>IFERROR(IF(INDEX(Pipeline!$I$7:$I$67,MATCH(LARGE(Pipeline!$P$7:$P$67,1),Pipeline!$P$7:$P$67,0))="","—",INDEX(Pipeline!$I$7:$I$67,MATCH(LARGE(Pipeline!$P$7:$P$67,1),Pipeline!$P$7:$P$67,0))),"")</f>
        <v>Pending</v>
      </c>
      <c r="J17" s="45">
        <f>IFERROR(IF(INDEX(Pipeline!$J$7:$J$67,MATCH(LARGE(Pipeline!$P$7:$P$67,1),Pipeline!$P$7:$P$67,0))="","—",INDEX(Pipeline!$J$7:$J$67,MATCH(LARGE(Pipeline!$P$7:$P$67,1),Pipeline!$P$7:$P$67,0))),"")</f>
        <v>0.8</v>
      </c>
      <c r="K17" s="59" t="str">
        <f>IFERROR(IF(INDEX(Pipeline!$K$7:$K$67,MATCH(LARGE(Pipeline!$P$7:$P$67,1),Pipeline!$P$7:$P$67,0))="","—",INDEX(Pipeline!$K$7:$K$67,MATCH(LARGE(Pipeline!$P$7:$P$67,1),Pipeline!$P$7:$P$67,0))),"")</f>
        <v>Noviembre</v>
      </c>
      <c r="L17" s="58">
        <f>IFERROR(IF(INDEX(Pipeline!$L$7:$L$67,MATCH(LARGE(Pipeline!$P$7:$P$67,1),Pipeline!$P$7:$P$67,0))="","—",INDEX(Pipeline!$L$7:$L$67,MATCH(LARGE(Pipeline!$P$7:$P$67,1),Pipeline!$P$7:$P$67,0))),"")</f>
        <v>329251.76800000004</v>
      </c>
    </row>
    <row r="18" spans="1:12" x14ac:dyDescent="0.25">
      <c r="A18" s="32">
        <v>2</v>
      </c>
      <c r="B18" s="30" t="str">
        <f>IFERROR(IF(INDEX(Pipeline!$B$7:$B$67,MATCH(LARGE(Pipeline!$P$7:$P$67,2),Pipeline!$P$7:$P$67,0))="","—",INDEX(Pipeline!$B$7:$B$67,MATCH(LARGE(Pipeline!$P$7:$P$67,2),Pipeline!$P$7:$P$67,0))),"")</f>
        <v>Galvaceros</v>
      </c>
      <c r="C18" s="30" t="str">
        <f>IFERROR(IF(INDEX(Pipeline!$C$7:$C$67,MATCH(LARGE(Pipeline!$P$7:$P$67,2),Pipeline!$P$7:$P$67,0))="","—",INDEX(Pipeline!$C$7:$C$67,MATCH(LARGE(Pipeline!$P$7:$P$67,2),Pipeline!$P$7:$P$67,0))),"")</f>
        <v>Colegios Sucre</v>
      </c>
      <c r="D18" s="30" t="str">
        <f>IFERROR(IF(INDEX(Pipeline!$E$7:$E$67,MATCH(LARGE(Pipeline!$P$7:$P$67,2),Pipeline!$P$7:$P$67,0))="","—",INDEX(Pipeline!$E$7:$E$67,MATCH(LARGE(Pipeline!$P$7:$P$67,2),Pipeline!$P$7:$P$67,0))),"")</f>
        <v>Colombia</v>
      </c>
      <c r="E18" s="30" t="str">
        <f>IFERROR(IF(INDEX(Pipeline!$F$7:$F$67,MATCH(LARGE(Pipeline!$P$7:$P$67,2),Pipeline!$P$7:$P$67,0))="","—",INDEX(Pipeline!$F$7:$F$67,MATCH(LARGE(Pipeline!$P$7:$P$67,2),Pipeline!$P$7:$P$67,0))),"")</f>
        <v>KingRoof</v>
      </c>
      <c r="F18" s="30" t="str">
        <f>IFERROR(IF(INDEX(Pipeline!$D$7:$D$67,MATCH(LARGE(Pipeline!$P$7:$P$67,2),Pipeline!$P$7:$P$67,0))="","—",INDEX(Pipeline!$D$7:$D$67,MATCH(LARGE(Pipeline!$P$7:$P$67,2),Pipeline!$P$7:$P$67,0))),"")</f>
        <v>Joana Perez</v>
      </c>
      <c r="G18" s="49">
        <f>IFERROR(IF(INDEX(Pipeline!$G$7:$G$67,MATCH(LARGE(Pipeline!$P$7:$P$67,2),Pipeline!$P$7:$P$67,0))="","—",INDEX(Pipeline!$G$7:$G$67,MATCH(LARGE(Pipeline!$P$7:$P$67,2),Pipeline!$P$7:$P$67,0))),"")</f>
        <v>14000</v>
      </c>
      <c r="H18" s="58">
        <f>IFERROR(IF(INDEX(Pipeline!$H$7:$H$67,MATCH(LARGE(Pipeline!$P$7:$P$67,2),Pipeline!$P$7:$P$67,0))="","—",INDEX(Pipeline!$H$7:$H$67,MATCH(LARGE(Pipeline!$P$7:$P$67,2),Pipeline!$P$7:$P$67,0))),"")</f>
        <v>333529</v>
      </c>
      <c r="I18" s="30" t="str">
        <f>IFERROR(IF(INDEX(Pipeline!$I$7:$I$67,MATCH(LARGE(Pipeline!$P$7:$P$67,2),Pipeline!$P$7:$P$67,0))="","—",INDEX(Pipeline!$I$7:$I$67,MATCH(LARGE(Pipeline!$P$7:$P$67,2),Pipeline!$P$7:$P$67,0))),"")</f>
        <v>Pending</v>
      </c>
      <c r="J18" s="45">
        <f>IFERROR(IF(INDEX(Pipeline!$J$7:$J$67,MATCH(LARGE(Pipeline!$P$7:$P$67,2),Pipeline!$P$7:$P$67,0))="","—",INDEX(Pipeline!$J$7:$J$67,MATCH(LARGE(Pipeline!$P$7:$P$67,2),Pipeline!$P$7:$P$67,0))),"")</f>
        <v>0.82</v>
      </c>
      <c r="K18" s="59" t="str">
        <f>IFERROR(IF(INDEX(Pipeline!$K$7:$K$67,MATCH(LARGE(Pipeline!$P$7:$P$67,2),Pipeline!$P$7:$P$67,0))="","—",INDEX(Pipeline!$K$7:$K$67,MATCH(LARGE(Pipeline!$P$7:$P$67,2),Pipeline!$P$7:$P$67,0))),"")</f>
        <v>Noviembre</v>
      </c>
      <c r="L18" s="58">
        <f>IFERROR(IF(INDEX(Pipeline!$L$7:$L$67,MATCH(LARGE(Pipeline!$P$7:$P$67,2),Pipeline!$P$7:$P$67,0))="","—",INDEX(Pipeline!$L$7:$L$67,MATCH(LARGE(Pipeline!$P$7:$P$67,2),Pipeline!$P$7:$P$67,0))),"")</f>
        <v>273493.77999999997</v>
      </c>
    </row>
    <row r="19" spans="1:12" x14ac:dyDescent="0.25">
      <c r="A19" s="32">
        <v>3</v>
      </c>
      <c r="B19" s="30" t="str">
        <f>IFERROR(IF(INDEX(Pipeline!$B$7:$B$67,MATCH(LARGE(Pipeline!$P$7:$P$67,3),Pipeline!$P$7:$P$67,0))="","—",INDEX(Pipeline!$B$7:$B$67,MATCH(LARGE(Pipeline!$P$7:$P$67,3),Pipeline!$P$7:$P$67,0))),"")</f>
        <v>RFS</v>
      </c>
      <c r="C19" s="30" t="str">
        <f>IFERROR(IF(INDEX(Pipeline!$C$7:$C$67,MATCH(LARGE(Pipeline!$P$7:$P$67,3),Pipeline!$P$7:$P$67,0))="","—",INDEX(Pipeline!$C$7:$C$67,MATCH(LARGE(Pipeline!$P$7:$P$67,3),Pipeline!$P$7:$P$67,0))),"")</f>
        <v>Cold Storage</v>
      </c>
      <c r="D19" s="30" t="str">
        <f>IFERROR(IF(INDEX(Pipeline!$E$7:$E$67,MATCH(LARGE(Pipeline!$P$7:$P$67,3),Pipeline!$P$7:$P$67,0))="","—",INDEX(Pipeline!$E$7:$E$67,MATCH(LARGE(Pipeline!$P$7:$P$67,3),Pipeline!$P$7:$P$67,0))),"")</f>
        <v>Costa Rica</v>
      </c>
      <c r="E19" s="30" t="str">
        <f>IFERROR(IF(INDEX(Pipeline!$F$7:$F$67,MATCH(LARGE(Pipeline!$P$7:$P$67,3),Pipeline!$P$7:$P$67,0))="","—",INDEX(Pipeline!$F$7:$F$67,MATCH(LARGE(Pipeline!$P$7:$P$67,3),Pipeline!$P$7:$P$67,0))),"")</f>
        <v>KingFrigo</v>
      </c>
      <c r="F19" s="30" t="str">
        <f>IFERROR(IF(INDEX(Pipeline!$D$7:$D$67,MATCH(LARGE(Pipeline!$P$7:$P$67,3),Pipeline!$P$7:$P$67,0))="","—",INDEX(Pipeline!$D$7:$D$67,MATCH(LARGE(Pipeline!$P$7:$P$67,3),Pipeline!$P$7:$P$67,0))),"")</f>
        <v>Juan Carlos Menendez</v>
      </c>
      <c r="G19" s="49">
        <f>IFERROR(IF(INDEX(Pipeline!$G$7:$G$67,MATCH(LARGE(Pipeline!$P$7:$P$67,3),Pipeline!$P$7:$P$67,0))="","—",INDEX(Pipeline!$G$7:$G$67,MATCH(LARGE(Pipeline!$P$7:$P$67,3),Pipeline!$P$7:$P$67,0))),"")</f>
        <v>12500</v>
      </c>
      <c r="H19" s="58">
        <f>IFERROR(IF(INDEX(Pipeline!$H$7:$H$67,MATCH(LARGE(Pipeline!$P$7:$P$67,3),Pipeline!$P$7:$P$67,0))="","—",INDEX(Pipeline!$H$7:$H$67,MATCH(LARGE(Pipeline!$P$7:$P$67,3),Pipeline!$P$7:$P$67,0))),"")</f>
        <v>312500</v>
      </c>
      <c r="I19" s="30" t="str">
        <f>IFERROR(IF(INDEX(Pipeline!$I$7:$I$67,MATCH(LARGE(Pipeline!$P$7:$P$67,3),Pipeline!$P$7:$P$67,0))="","—",INDEX(Pipeline!$I$7:$I$67,MATCH(LARGE(Pipeline!$P$7:$P$67,3),Pipeline!$P$7:$P$67,0))),"")</f>
        <v>Closed Won</v>
      </c>
      <c r="J19" s="45" t="str">
        <f>IFERROR(IF(INDEX(Pipeline!$J$7:$J$67,MATCH(LARGE(Pipeline!$P$7:$P$67,3),Pipeline!$P$7:$P$67,0))="","—",INDEX(Pipeline!$J$7:$J$67,MATCH(LARGE(Pipeline!$P$7:$P$67,3),Pipeline!$P$7:$P$67,0))),"")</f>
        <v>—</v>
      </c>
      <c r="K19" s="59" t="str">
        <f>IFERROR(IF(INDEX(Pipeline!$K$7:$K$67,MATCH(LARGE(Pipeline!$P$7:$P$67,3),Pipeline!$P$7:$P$67,0))="","—",INDEX(Pipeline!$K$7:$K$67,MATCH(LARGE(Pipeline!$P$7:$P$67,3),Pipeline!$P$7:$P$67,0))),"")</f>
        <v>—</v>
      </c>
      <c r="L19" s="58" t="str">
        <f>IFERROR(IF(INDEX(Pipeline!$L$7:$L$67,MATCH(LARGE(Pipeline!$P$7:$P$67,3),Pipeline!$P$7:$P$67,0))="","—",INDEX(Pipeline!$L$7:$L$67,MATCH(LARGE(Pipeline!$P$7:$P$67,3),Pipeline!$P$7:$P$67,0))),"")</f>
        <v>—</v>
      </c>
    </row>
    <row r="20" spans="1:12" x14ac:dyDescent="0.25">
      <c r="A20" s="32">
        <v>4</v>
      </c>
      <c r="B20" s="30" t="str">
        <f>IFERROR(IF(INDEX(Pipeline!$B$7:$B$67,MATCH(LARGE(Pipeline!$P$7:$P$67,4),Pipeline!$P$7:$P$67,0))="","—",INDEX(Pipeline!$B$7:$B$67,MATCH(LARGE(Pipeline!$P$7:$P$67,4),Pipeline!$P$7:$P$67,0))),"")</f>
        <v>CIA Caribe Mar</v>
      </c>
      <c r="C20" s="30" t="str">
        <f>IFERROR(IF(INDEX(Pipeline!$C$7:$C$67,MATCH(LARGE(Pipeline!$P$7:$P$67,4),Pipeline!$P$7:$P$67,0))="","—",INDEX(Pipeline!$C$7:$C$67,MATCH(LARGE(Pipeline!$P$7:$P$67,4),Pipeline!$P$7:$P$67,0))),"")</f>
        <v>Antártica</v>
      </c>
      <c r="D20" s="30" t="str">
        <f>IFERROR(IF(INDEX(Pipeline!$E$7:$E$67,MATCH(LARGE(Pipeline!$P$7:$P$67,4),Pipeline!$P$7:$P$67,0))="","—",INDEX(Pipeline!$E$7:$E$67,MATCH(LARGE(Pipeline!$P$7:$P$67,4),Pipeline!$P$7:$P$67,0))),"")</f>
        <v>Venezuela</v>
      </c>
      <c r="E20" s="30" t="str">
        <f>IFERROR(IF(INDEX(Pipeline!$F$7:$F$67,MATCH(LARGE(Pipeline!$P$7:$P$67,4),Pipeline!$P$7:$P$67,0))="","—",INDEX(Pipeline!$F$7:$F$67,MATCH(LARGE(Pipeline!$P$7:$P$67,4),Pipeline!$P$7:$P$67,0))),"")</f>
        <v>KingFrigo</v>
      </c>
      <c r="F20" s="30" t="str">
        <f>IFERROR(IF(INDEX(Pipeline!$D$7:$D$67,MATCH(LARGE(Pipeline!$P$7:$P$67,4),Pipeline!$P$7:$P$67,0))="","—",INDEX(Pipeline!$D$7:$D$67,MATCH(LARGE(Pipeline!$P$7:$P$67,4),Pipeline!$P$7:$P$67,0))),"")</f>
        <v>María Yelitza Calderón</v>
      </c>
      <c r="G20" s="49">
        <f>IFERROR(IF(INDEX(Pipeline!$G$7:$G$67,MATCH(LARGE(Pipeline!$P$7:$P$67,4),Pipeline!$P$7:$P$67,0))="","—",INDEX(Pipeline!$G$7:$G$67,MATCH(LARGE(Pipeline!$P$7:$P$67,4),Pipeline!$P$7:$P$67,0))),"")</f>
        <v>12000</v>
      </c>
      <c r="H20" s="58">
        <f>IFERROR(IF(INDEX(Pipeline!$H$7:$H$67,MATCH(LARGE(Pipeline!$P$7:$P$67,4),Pipeline!$P$7:$P$67,0))="","—",INDEX(Pipeline!$H$7:$H$67,MATCH(LARGE(Pipeline!$P$7:$P$67,4),Pipeline!$P$7:$P$67,0))),"")</f>
        <v>360000</v>
      </c>
      <c r="I20" s="30" t="str">
        <f>IFERROR(IF(INDEX(Pipeline!$I$7:$I$67,MATCH(LARGE(Pipeline!$P$7:$P$67,4),Pipeline!$P$7:$P$67,0))="","—",INDEX(Pipeline!$I$7:$I$67,MATCH(LARGE(Pipeline!$P$7:$P$67,4),Pipeline!$P$7:$P$67,0))),"")</f>
        <v>Specification</v>
      </c>
      <c r="J20" s="45">
        <f>IFERROR(IF(INDEX(Pipeline!$J$7:$J$67,MATCH(LARGE(Pipeline!$P$7:$P$67,4),Pipeline!$P$7:$P$67,0))="","—",INDEX(Pipeline!$J$7:$J$67,MATCH(LARGE(Pipeline!$P$7:$P$67,4),Pipeline!$P$7:$P$67,0))),"")</f>
        <v>0.9</v>
      </c>
      <c r="K20" s="59" t="str">
        <f>IFERROR(IF(INDEX(Pipeline!$K$7:$K$67,MATCH(LARGE(Pipeline!$P$7:$P$67,4),Pipeline!$P$7:$P$67,0))="","—",INDEX(Pipeline!$K$7:$K$67,MATCH(LARGE(Pipeline!$P$7:$P$67,4),Pipeline!$P$7:$P$67,0))),"")</f>
        <v>Noviembre</v>
      </c>
      <c r="L20" s="58">
        <f>IFERROR(IF(INDEX(Pipeline!$L$7:$L$67,MATCH(LARGE(Pipeline!$P$7:$P$67,4),Pipeline!$P$7:$P$67,0))="","—",INDEX(Pipeline!$L$7:$L$67,MATCH(LARGE(Pipeline!$P$7:$P$67,4),Pipeline!$P$7:$P$67,0))),"")</f>
        <v>324000</v>
      </c>
    </row>
    <row r="21" spans="1:12" x14ac:dyDescent="0.25">
      <c r="A21" s="32">
        <v>5</v>
      </c>
      <c r="B21" s="30" t="str">
        <f>IFERROR(IF(INDEX(Pipeline!$B$7:$B$67,MATCH(LARGE(Pipeline!$P$7:$P$67,5),Pipeline!$P$7:$P$67,0))="","—",INDEX(Pipeline!$B$7:$B$67,MATCH(LARGE(Pipeline!$P$7:$P$67,5),Pipeline!$P$7:$P$67,0))),"")</f>
        <v>Galvaceros</v>
      </c>
      <c r="C21" s="30" t="str">
        <f>IFERROR(IF(INDEX(Pipeline!$C$7:$C$67,MATCH(LARGE(Pipeline!$P$7:$P$67,5),Pipeline!$P$7:$P$67,0))="","—",INDEX(Pipeline!$C$7:$C$67,MATCH(LARGE(Pipeline!$P$7:$P$67,5),Pipeline!$P$7:$P$67,0))),"")</f>
        <v>Panandina Data Center</v>
      </c>
      <c r="D21" s="30" t="str">
        <f>IFERROR(IF(INDEX(Pipeline!$E$7:$E$67,MATCH(LARGE(Pipeline!$P$7:$P$67,5),Pipeline!$P$7:$P$67,0))="","—",INDEX(Pipeline!$E$7:$E$67,MATCH(LARGE(Pipeline!$P$7:$P$67,5),Pipeline!$P$7:$P$67,0))),"")</f>
        <v>Colombia</v>
      </c>
      <c r="E21" s="30" t="str">
        <f>IFERROR(IF(INDEX(Pipeline!$F$7:$F$67,MATCH(LARGE(Pipeline!$P$7:$P$67,5),Pipeline!$P$7:$P$67,0))="","—",INDEX(Pipeline!$F$7:$F$67,MATCH(LARGE(Pipeline!$P$7:$P$67,5),Pipeline!$P$7:$P$67,0))),"")</f>
        <v>KingRoof / KingWall LMR</v>
      </c>
      <c r="F21" s="30" t="str">
        <f>IFERROR(IF(INDEX(Pipeline!$D$7:$D$67,MATCH(LARGE(Pipeline!$P$7:$P$67,5),Pipeline!$P$7:$P$67,0))="","—",INDEX(Pipeline!$D$7:$D$67,MATCH(LARGE(Pipeline!$P$7:$P$67,5),Pipeline!$P$7:$P$67,0))),"")</f>
        <v>Joana Perez</v>
      </c>
      <c r="G21" s="49">
        <f>IFERROR(IF(INDEX(Pipeline!$G$7:$G$67,MATCH(LARGE(Pipeline!$P$7:$P$67,5),Pipeline!$P$7:$P$67,0))="","—",INDEX(Pipeline!$G$7:$G$67,MATCH(LARGE(Pipeline!$P$7:$P$67,5),Pipeline!$P$7:$P$67,0))),"")</f>
        <v>4106</v>
      </c>
      <c r="H21" s="58">
        <f>IFERROR(IF(INDEX(Pipeline!$H$7:$H$67,MATCH(LARGE(Pipeline!$P$7:$P$67,5),Pipeline!$P$7:$P$67,0))="","—",INDEX(Pipeline!$H$7:$H$67,MATCH(LARGE(Pipeline!$P$7:$P$67,5),Pipeline!$P$7:$P$67,0))),"")</f>
        <v>494712</v>
      </c>
      <c r="I21" s="30" t="str">
        <f>IFERROR(IF(INDEX(Pipeline!$I$7:$I$67,MATCH(LARGE(Pipeline!$P$7:$P$67,5),Pipeline!$P$7:$P$67,0))="","—",INDEX(Pipeline!$I$7:$I$67,MATCH(LARGE(Pipeline!$P$7:$P$67,5),Pipeline!$P$7:$P$67,0))),"")</f>
        <v>Pending</v>
      </c>
      <c r="J21" s="45">
        <f>IFERROR(IF(INDEX(Pipeline!$J$7:$J$67,MATCH(LARGE(Pipeline!$P$7:$P$67,5),Pipeline!$P$7:$P$67,0))="","—",INDEX(Pipeline!$J$7:$J$67,MATCH(LARGE(Pipeline!$P$7:$P$67,5),Pipeline!$P$7:$P$67,0))),"")</f>
        <v>0.85</v>
      </c>
      <c r="K21" s="59" t="str">
        <f>IFERROR(IF(INDEX(Pipeline!$K$7:$K$67,MATCH(LARGE(Pipeline!$P$7:$P$67,5),Pipeline!$P$7:$P$67,0))="","—",INDEX(Pipeline!$K$7:$K$67,MATCH(LARGE(Pipeline!$P$7:$P$67,5),Pipeline!$P$7:$P$67,0))),"")</f>
        <v>Diciembre</v>
      </c>
      <c r="L21" s="58">
        <f>IFERROR(IF(INDEX(Pipeline!$L$7:$L$67,MATCH(LARGE(Pipeline!$P$7:$P$67,5),Pipeline!$P$7:$P$67,0))="","—",INDEX(Pipeline!$L$7:$L$67,MATCH(LARGE(Pipeline!$P$7:$P$67,5),Pipeline!$P$7:$P$67,0))),"")</f>
        <v>420505.2</v>
      </c>
    </row>
    <row r="22" spans="1:12" x14ac:dyDescent="0.25">
      <c r="B22" s="33" t="s">
        <v>203</v>
      </c>
      <c r="G22" s="34">
        <f>SUM(G17:G21)</f>
        <v>64134</v>
      </c>
      <c r="H22" s="60">
        <f>SUM(H17:H21)</f>
        <v>1912305.71</v>
      </c>
    </row>
    <row r="25" spans="1:12" ht="30" customHeight="1" x14ac:dyDescent="0.25">
      <c r="A25" s="25"/>
      <c r="B25" s="25" t="s">
        <v>211</v>
      </c>
      <c r="C25" s="25" t="s">
        <v>68</v>
      </c>
      <c r="D25" s="25" t="s">
        <v>139</v>
      </c>
      <c r="E25" s="25" t="s">
        <v>81</v>
      </c>
    </row>
    <row r="26" spans="1:12" x14ac:dyDescent="0.25">
      <c r="B26" s="26" t="s">
        <v>212</v>
      </c>
      <c r="C26" s="32">
        <v>41</v>
      </c>
      <c r="D26" s="32">
        <f>COUNTIFS(Pipeline!$A$7:$A$67,"Distribución")</f>
        <v>10</v>
      </c>
      <c r="E26" s="32">
        <f t="shared" ref="E26:E34" si="0">C26+D26</f>
        <v>51</v>
      </c>
    </row>
    <row r="27" spans="1:12" x14ac:dyDescent="0.25">
      <c r="B27" s="26" t="s">
        <v>213</v>
      </c>
      <c r="C27" s="49">
        <v>749389</v>
      </c>
      <c r="D27" s="49">
        <f>SUMIFS(Pipeline!$G$7:$G$67,Pipeline!$A$7:$A$67,"Distribución")</f>
        <v>79254</v>
      </c>
      <c r="E27" s="49">
        <f t="shared" si="0"/>
        <v>828643</v>
      </c>
    </row>
    <row r="28" spans="1:12" x14ac:dyDescent="0.25">
      <c r="B28" s="26" t="s">
        <v>214</v>
      </c>
      <c r="C28" s="58">
        <f>SUMIFS(Pipeline!$H$7:$H$67,Pipeline!$A$7:$A$67,"Industrial")</f>
        <v>21038017</v>
      </c>
      <c r="D28" s="58">
        <f>SUMIFS(Pipeline!$H$7:$H$67,Pipeline!$A$7:$A$67,"Distribución")</f>
        <v>2459506.71</v>
      </c>
      <c r="E28" s="58">
        <f t="shared" si="0"/>
        <v>23497523.710000001</v>
      </c>
    </row>
    <row r="29" spans="1:12" x14ac:dyDescent="0.25">
      <c r="B29" s="26" t="s">
        <v>215</v>
      </c>
      <c r="C29" s="32">
        <f>COUNTIFS(Pipeline!$A$7:$A$67,"Industrial",Pipeline!$I$7:$I$67,"Closed Won")</f>
        <v>5</v>
      </c>
      <c r="D29" s="32">
        <f>COUNTIFS(Pipeline!$A$7:$A$67,"Distribución",Pipeline!$I$7:$I$67,"Closed Won")</f>
        <v>3</v>
      </c>
      <c r="E29" s="32">
        <f t="shared" si="0"/>
        <v>8</v>
      </c>
    </row>
    <row r="30" spans="1:12" x14ac:dyDescent="0.25">
      <c r="B30" s="26" t="s">
        <v>216</v>
      </c>
      <c r="C30" s="58">
        <f>SUMIFS(Pipeline!$H$7:$H$67,Pipeline!$A$7:$A$67,"Industrial",Pipeline!$I$7:$I$67,"Closed Won")</f>
        <v>1956120</v>
      </c>
      <c r="D30" s="58">
        <f>SUMIFS(Pipeline!$H$7:$H$67,Pipeline!$A$7:$A$67,"Distribución",Pipeline!$I$7:$I$67,"Closed Won")</f>
        <v>491937</v>
      </c>
      <c r="E30" s="58">
        <f t="shared" si="0"/>
        <v>2448057</v>
      </c>
    </row>
    <row r="31" spans="1:12" x14ac:dyDescent="0.25">
      <c r="B31" s="26" t="s">
        <v>217</v>
      </c>
      <c r="C31" s="32">
        <f>COUNTIFS(Pipeline!$A$7:$A$67,"Industrial",Pipeline!$I$7:$I$67,"Specification")</f>
        <v>1</v>
      </c>
      <c r="D31" s="32">
        <f>COUNTIFS(Pipeline!$A$7:$A$67,"Distribución",Pipeline!$I$7:$I$67,"Specification")</f>
        <v>1</v>
      </c>
      <c r="E31" s="32">
        <f t="shared" si="0"/>
        <v>2</v>
      </c>
    </row>
    <row r="32" spans="1:12" x14ac:dyDescent="0.25">
      <c r="B32" s="26" t="s">
        <v>218</v>
      </c>
      <c r="C32" s="32">
        <f>COUNTIFS(Pipeline!$A$7:$A$67,"Industrial",Pipeline!$I$7:$I$67,"Pending")</f>
        <v>22</v>
      </c>
      <c r="D32" s="32">
        <f>COUNTIFS(Pipeline!$A$7:$A$67,"Distribución",Pipeline!$I$7:$I$67,"Pending")</f>
        <v>6</v>
      </c>
      <c r="E32" s="32">
        <f t="shared" si="0"/>
        <v>28</v>
      </c>
    </row>
    <row r="33" spans="2:5" x14ac:dyDescent="0.25">
      <c r="B33" s="26" t="s">
        <v>219</v>
      </c>
      <c r="C33" s="58">
        <f>SUMIFS(Pipeline!$H$7:$H$67,Pipeline!$A$7:$A$67,"Industrial",Pipeline!$I$7:$I$67,"Pending")</f>
        <v>16294103</v>
      </c>
      <c r="D33" s="58">
        <f>SUMIFS(Pipeline!$H$7:$H$67,Pipeline!$A$7:$A$67,"Distribución",Pipeline!$I$7:$I$67,"Pending")</f>
        <v>1607569.71</v>
      </c>
      <c r="E33" s="58">
        <f t="shared" si="0"/>
        <v>17901672.710000001</v>
      </c>
    </row>
    <row r="34" spans="2:5" x14ac:dyDescent="0.25">
      <c r="B34" s="26" t="s">
        <v>220</v>
      </c>
      <c r="C34" s="37">
        <v>38</v>
      </c>
      <c r="D34" s="32">
        <f>D26</f>
        <v>10</v>
      </c>
      <c r="E34" s="61">
        <f t="shared" si="0"/>
        <v>48</v>
      </c>
    </row>
    <row r="35" spans="2:5" x14ac:dyDescent="0.25">
      <c r="B35" s="26" t="s">
        <v>221</v>
      </c>
      <c r="C35" s="30" t="str">
        <f>E34&amp;" proyectos activos · USD "&amp;TEXT(E28/1000000,"0.0")&amp;" M · "&amp;TEXT(E27/1000,"#,##0")&amp;"k m²"</f>
        <v>48 proyectos activos · USD 23 M · 828,643k m²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61530"/>
  </sheetPr>
  <dimension ref="A1:R37"/>
  <sheetViews>
    <sheetView showGridLines="0" zoomScaleNormal="100" workbookViewId="0">
      <selection activeCell="E8" sqref="E8"/>
    </sheetView>
  </sheetViews>
  <sheetFormatPr baseColWidth="10" defaultColWidth="8.7109375" defaultRowHeight="15" x14ac:dyDescent="0.25"/>
  <cols>
    <col min="1" max="1" width="20" customWidth="1"/>
    <col min="2" max="2" width="22" customWidth="1"/>
    <col min="3" max="3" width="15" customWidth="1"/>
    <col min="4" max="5" width="14" customWidth="1"/>
    <col min="6" max="6" width="15" customWidth="1"/>
    <col min="7" max="7" width="12" customWidth="1"/>
    <col min="8" max="8" width="10" customWidth="1"/>
    <col min="9" max="11" width="13" customWidth="1"/>
    <col min="12" max="12" width="12" customWidth="1"/>
    <col min="13" max="13" width="10" customWidth="1"/>
    <col min="14" max="14" width="12" customWidth="1"/>
    <col min="15" max="15" width="8" customWidth="1"/>
    <col min="16" max="16" width="4" customWidth="1"/>
    <col min="17" max="17" width="30" customWidth="1"/>
    <col min="18" max="18" width="10" customWidth="1"/>
  </cols>
  <sheetData>
    <row r="1" spans="1:18" ht="18" x14ac:dyDescent="0.25">
      <c r="A1" s="7" t="s">
        <v>222</v>
      </c>
    </row>
    <row r="2" spans="1:18" x14ac:dyDescent="0.25">
      <c r="A2" s="8" t="s">
        <v>223</v>
      </c>
    </row>
    <row r="4" spans="1:18" ht="31.5" customHeight="1" x14ac:dyDescent="0.25">
      <c r="A4" s="9" t="s">
        <v>224</v>
      </c>
      <c r="B4" s="9" t="s">
        <v>225</v>
      </c>
      <c r="C4" s="9" t="s">
        <v>226</v>
      </c>
      <c r="D4" s="9" t="s">
        <v>227</v>
      </c>
      <c r="E4" s="9" t="s">
        <v>228</v>
      </c>
      <c r="F4" s="9" t="s">
        <v>229</v>
      </c>
      <c r="G4" s="9" t="s">
        <v>230</v>
      </c>
      <c r="H4" s="9" t="s">
        <v>231</v>
      </c>
      <c r="I4" s="9" t="s">
        <v>232</v>
      </c>
      <c r="J4" s="9" t="s">
        <v>233</v>
      </c>
      <c r="K4" s="9" t="s">
        <v>234</v>
      </c>
      <c r="L4" s="9" t="s">
        <v>235</v>
      </c>
      <c r="M4" s="9" t="s">
        <v>236</v>
      </c>
      <c r="N4" s="9" t="s">
        <v>237</v>
      </c>
      <c r="P4" s="62" t="s">
        <v>47</v>
      </c>
      <c r="Q4" s="62" t="s">
        <v>238</v>
      </c>
      <c r="R4" s="62" t="s">
        <v>239</v>
      </c>
    </row>
    <row r="5" spans="1:18" x14ac:dyDescent="0.25">
      <c r="A5" s="10" t="s">
        <v>68</v>
      </c>
      <c r="B5" s="63" t="s">
        <v>240</v>
      </c>
      <c r="C5" s="13">
        <f>INDEX('09_RSM_Industrial'!$C:$C,MATCH("TOTAL CANAL",'09_RSM_Industrial'!$A:$A,0))</f>
        <v>430568</v>
      </c>
      <c r="D5" s="13">
        <f>INDEX('09_RSM_Industrial'!$D:$D,MATCH("TOTAL CANAL",'09_RSM_Industrial'!$A:$A,0))</f>
        <v>339588</v>
      </c>
      <c r="E5" s="13">
        <f>INDEX('09_RSM_Industrial'!$E:$E,MATCH("TOTAL CANAL",'09_RSM_Industrial'!$A:$A,0))</f>
        <v>443901.875</v>
      </c>
      <c r="F5" s="14">
        <f t="shared" ref="F5:F10" si="0">D5-E5</f>
        <v>-104313.875</v>
      </c>
      <c r="G5" s="15">
        <f t="shared" ref="G5:G11" si="1">IF(E5=0,0,D5/E5)</f>
        <v>0.76500690608707156</v>
      </c>
      <c r="H5" s="16" t="str">
        <f t="shared" ref="H5:H11" si="2">IF(ROUND(G5*100,0)&lt;=60,"Rojo",IF(ROUND(G5*100,0)&lt;=84,"Naranja",IF(ROUND(G5*100,0)&lt;=100,"Verde claro","Verde oscuro")))</f>
        <v>Naranja</v>
      </c>
      <c r="I5" s="13">
        <f>'05_Backlog_Canal'!B5</f>
        <v>240448</v>
      </c>
      <c r="J5" s="19">
        <f>'05_Backlog_Canal'!E5</f>
        <v>0.33117135762133998</v>
      </c>
      <c r="K5" s="19">
        <f>'05_Backlog_Canal'!F5</f>
        <v>0.28692082751703302</v>
      </c>
      <c r="L5" s="64">
        <f t="shared" ref="L5:L10" si="3">IF(OR(J5="",K5="",K5=0),"n.a.",(J5-K5)*100)</f>
        <v>4.4250530104306964</v>
      </c>
      <c r="M5" s="15">
        <f t="shared" ref="M5:M10" si="4">IFERROR(I5/$I$11,0)</f>
        <v>0.4575351693246234</v>
      </c>
      <c r="N5" s="65">
        <f t="shared" ref="N5:N11" si="5">IFERROR(C5/D5,"")</f>
        <v>1.2679128826695878</v>
      </c>
      <c r="O5" s="66">
        <f t="shared" ref="O5:O10" si="6">G5+(20-ROW())/1000000000</f>
        <v>0.76500692108707158</v>
      </c>
      <c r="P5" s="67">
        <v>1</v>
      </c>
      <c r="Q5" s="11" t="str">
        <f t="shared" ref="Q5:Q10" si="7">INDEX($A$5:$A$10,MATCH(LARGE($O$5:$O$10,P5),$O$5:$O$10,0))</f>
        <v>Alternative Sales</v>
      </c>
      <c r="R5" s="15">
        <f t="shared" ref="R5:R10" si="8">INDEX($G$5:$G$10,MATCH(LARGE($O$5:$O$10,P5),$O$5:$O$10,0))</f>
        <v>1.530373831775701</v>
      </c>
    </row>
    <row r="6" spans="1:18" x14ac:dyDescent="0.25">
      <c r="A6" s="10" t="s">
        <v>69</v>
      </c>
      <c r="B6" s="63" t="s">
        <v>241</v>
      </c>
      <c r="C6" s="13">
        <f>INDEX('10_RSM_Distribucion'!$C:$C,MATCH("TOTAL CANAL",'10_RSM_Distribucion'!$A:$A,0))</f>
        <v>236351</v>
      </c>
      <c r="D6" s="13">
        <f>INDEX('10_RSM_Distribucion'!$D:$D,MATCH("TOTAL CANAL",'10_RSM_Distribucion'!$A:$A,0))</f>
        <v>227016</v>
      </c>
      <c r="E6" s="13">
        <f>INDEX('10_RSM_Distribucion'!$E:$E,MATCH("TOTAL CANAL",'10_RSM_Distribucion'!$A:$A,0))</f>
        <v>248524</v>
      </c>
      <c r="F6" s="14">
        <f t="shared" si="0"/>
        <v>-21508</v>
      </c>
      <c r="G6" s="15">
        <f t="shared" si="1"/>
        <v>0.91345705042571346</v>
      </c>
      <c r="H6" s="16" t="str">
        <f t="shared" si="2"/>
        <v>Verde claro</v>
      </c>
      <c r="I6" s="13">
        <f>'05_Backlog_Canal'!B6</f>
        <v>62499</v>
      </c>
      <c r="J6" s="19">
        <f>'05_Backlog_Canal'!E6</f>
        <v>0.29966955928374001</v>
      </c>
      <c r="K6" s="19">
        <f>'05_Backlog_Canal'!F6</f>
        <v>0.270100403669289</v>
      </c>
      <c r="L6" s="64">
        <f t="shared" si="3"/>
        <v>2.9569155614451006</v>
      </c>
      <c r="M6" s="15">
        <f t="shared" si="4"/>
        <v>0.11892588230145244</v>
      </c>
      <c r="N6" s="65">
        <f t="shared" si="5"/>
        <v>1.0411204496599358</v>
      </c>
      <c r="O6" s="66">
        <f t="shared" si="6"/>
        <v>0.91345706442571351</v>
      </c>
      <c r="P6" s="67">
        <v>2</v>
      </c>
      <c r="Q6" s="11" t="str">
        <f t="shared" si="7"/>
        <v>Site Cali</v>
      </c>
      <c r="R6" s="15">
        <f t="shared" si="8"/>
        <v>0.95746303474016647</v>
      </c>
    </row>
    <row r="7" spans="1:18" x14ac:dyDescent="0.25">
      <c r="A7" s="10" t="s">
        <v>72</v>
      </c>
      <c r="B7" s="63" t="s">
        <v>242</v>
      </c>
      <c r="C7" s="13">
        <f>INDEX('11_RSM_Otras_Geo'!$C:$C,MATCH("TOTAL CANAL",'11_RSM_Otras_Geo'!$A:$A,0))</f>
        <v>367237</v>
      </c>
      <c r="D7" s="13">
        <f>INDEX('11_RSM_Otras_Geo'!$D:$D,MATCH("TOTAL CANAL",'11_RSM_Otras_Geo'!$A:$A,0))</f>
        <v>306076</v>
      </c>
      <c r="E7" s="13">
        <f>INDEX('11_RSM_Otras_Geo'!$E:$E,MATCH("TOTAL CANAL",'11_RSM_Otras_Geo'!$A:$A,0))</f>
        <v>388113</v>
      </c>
      <c r="F7" s="14">
        <f t="shared" si="0"/>
        <v>-82037</v>
      </c>
      <c r="G7" s="15">
        <f t="shared" si="1"/>
        <v>0.78862599294535352</v>
      </c>
      <c r="H7" s="16" t="str">
        <f t="shared" si="2"/>
        <v>Naranja</v>
      </c>
      <c r="I7" s="13">
        <f>'05_Backlog_Canal'!B7</f>
        <v>166377</v>
      </c>
      <c r="J7" s="19">
        <f>'05_Backlog_Canal'!E7</f>
        <v>0.14624363476804</v>
      </c>
      <c r="K7" s="19">
        <f>'05_Backlog_Canal'!F7</f>
        <v>0.104274012878321</v>
      </c>
      <c r="L7" s="64">
        <f t="shared" si="3"/>
        <v>4.1969621889719004</v>
      </c>
      <c r="M7" s="15">
        <f t="shared" si="4"/>
        <v>0.31658956974781599</v>
      </c>
      <c r="N7" s="65">
        <f t="shared" si="5"/>
        <v>1.1998229197976973</v>
      </c>
      <c r="O7" s="66">
        <f t="shared" si="6"/>
        <v>0.78862600594535348</v>
      </c>
      <c r="P7" s="67">
        <v>3</v>
      </c>
      <c r="Q7" s="11" t="str">
        <f t="shared" si="7"/>
        <v>Cold Storage</v>
      </c>
      <c r="R7" s="15">
        <f t="shared" si="8"/>
        <v>0.91910000000000003</v>
      </c>
    </row>
    <row r="8" spans="1:18" x14ac:dyDescent="0.25">
      <c r="A8" s="10" t="s">
        <v>90</v>
      </c>
      <c r="B8" s="63" t="s">
        <v>243</v>
      </c>
      <c r="C8" s="13">
        <f>INDEX('12_RSM_Cold_Storage'!$C:$C,MATCH("TOTAL CANAL",'12_RSM_Cold_Storage'!$A:$A,0))</f>
        <v>36425</v>
      </c>
      <c r="D8" s="13">
        <f>INDEX('12_RSM_Cold_Storage'!$D:$D,MATCH("TOTAL CANAL",'12_RSM_Cold_Storage'!$A:$A,0))</f>
        <v>9191</v>
      </c>
      <c r="E8" s="13">
        <f>INDEX('12_RSM_Cold_Storage'!$E:$E,MATCH("TOTAL CANAL",'12_RSM_Cold_Storage'!$A:$A,0))</f>
        <v>10000</v>
      </c>
      <c r="F8" s="14">
        <f t="shared" si="0"/>
        <v>-809</v>
      </c>
      <c r="G8" s="15">
        <f t="shared" si="1"/>
        <v>0.91910000000000003</v>
      </c>
      <c r="H8" s="16" t="str">
        <f t="shared" si="2"/>
        <v>Verde claro</v>
      </c>
      <c r="I8" s="13">
        <f>'05_Backlog_Canal'!B8</f>
        <v>28642</v>
      </c>
      <c r="J8" s="19">
        <f>'05_Backlog_Canal'!E8</f>
        <v>0.28058377005396101</v>
      </c>
      <c r="K8" s="19">
        <f>'05_Backlog_Canal'!F8</f>
        <v>0.386802424242424</v>
      </c>
      <c r="L8" s="64">
        <f t="shared" si="3"/>
        <v>-10.6218654188463</v>
      </c>
      <c r="M8" s="15">
        <f t="shared" si="4"/>
        <v>5.4501273954434486E-2</v>
      </c>
      <c r="N8" s="65">
        <f t="shared" si="5"/>
        <v>3.963116091828963</v>
      </c>
      <c r="O8" s="66">
        <f t="shared" si="6"/>
        <v>0.91910001200000002</v>
      </c>
      <c r="P8" s="67">
        <v>4</v>
      </c>
      <c r="Q8" s="11" t="str">
        <f t="shared" si="7"/>
        <v>Distribution</v>
      </c>
      <c r="R8" s="15">
        <f t="shared" si="8"/>
        <v>0.91345705042571346</v>
      </c>
    </row>
    <row r="9" spans="1:18" x14ac:dyDescent="0.25">
      <c r="A9" s="10" t="s">
        <v>141</v>
      </c>
      <c r="B9" s="63" t="s">
        <v>244</v>
      </c>
      <c r="C9" s="13">
        <f>INDEX('13_RSM_Site_Cali'!$C:$C,MATCH("TOTAL CANAL",'13_RSM_Site_Cali'!$A:$A,0))</f>
        <v>140132</v>
      </c>
      <c r="D9" s="13">
        <f>INDEX('13_RSM_Site_Cali'!$D:$D,MATCH("TOTAL CANAL",'13_RSM_Site_Cali'!$A:$A,0))</f>
        <v>106715</v>
      </c>
      <c r="E9" s="13">
        <f>INDEX('13_RSM_Site_Cali'!$E:$E,MATCH("TOTAL CANAL",'13_RSM_Site_Cali'!$A:$A,0))</f>
        <v>111456</v>
      </c>
      <c r="F9" s="14">
        <f t="shared" si="0"/>
        <v>-4741</v>
      </c>
      <c r="G9" s="15">
        <f t="shared" si="1"/>
        <v>0.95746303474016647</v>
      </c>
      <c r="H9" s="16" t="str">
        <f t="shared" si="2"/>
        <v>Verde claro</v>
      </c>
      <c r="I9" s="13">
        <f>'05_Backlog_Canal'!B9</f>
        <v>21774</v>
      </c>
      <c r="J9" s="19">
        <f>'05_Backlog_Canal'!E9</f>
        <v>0.36773598338822699</v>
      </c>
      <c r="K9" s="19">
        <f>'05_Backlog_Canal'!F9</f>
        <v>0</v>
      </c>
      <c r="L9" s="64" t="str">
        <f t="shared" si="3"/>
        <v>n.a.</v>
      </c>
      <c r="M9" s="15">
        <f t="shared" si="4"/>
        <v>4.1432537500309209E-2</v>
      </c>
      <c r="N9" s="65">
        <f t="shared" si="5"/>
        <v>1.313142482312702</v>
      </c>
      <c r="O9" s="66">
        <f t="shared" si="6"/>
        <v>0.9574630457401665</v>
      </c>
      <c r="P9" s="67">
        <v>5</v>
      </c>
      <c r="Q9" s="11" t="str">
        <f t="shared" si="7"/>
        <v>Other Geographies</v>
      </c>
      <c r="R9" s="15">
        <f t="shared" si="8"/>
        <v>0.78862599294535352</v>
      </c>
    </row>
    <row r="10" spans="1:18" x14ac:dyDescent="0.25">
      <c r="A10" s="10" t="s">
        <v>245</v>
      </c>
      <c r="B10" s="63" t="s">
        <v>246</v>
      </c>
      <c r="C10" s="13">
        <f>INDEX('14_RSM_Vtas_Alt'!$C:$C,MATCH("TOTAL CANAL",'14_RSM_Vtas_Alt'!$A:$A,0))</f>
        <v>58411</v>
      </c>
      <c r="D10" s="13">
        <f>INDEX('14_RSM_Vtas_Alt'!$D:$D,MATCH("TOTAL CANAL",'14_RSM_Vtas_Alt'!$A:$A,0))</f>
        <v>69430</v>
      </c>
      <c r="E10" s="13">
        <f>INDEX('14_RSM_Vtas_Alt'!$E:$E,MATCH("TOTAL CANAL",'14_RSM_Vtas_Alt'!$A:$A,0))</f>
        <v>45368</v>
      </c>
      <c r="F10" s="14">
        <f t="shared" si="0"/>
        <v>24062</v>
      </c>
      <c r="G10" s="15">
        <f t="shared" si="1"/>
        <v>1.530373831775701</v>
      </c>
      <c r="H10" s="16" t="str">
        <f t="shared" si="2"/>
        <v>Verde oscuro</v>
      </c>
      <c r="I10" s="13">
        <f>'05_Backlog_Canal'!B10</f>
        <v>5789</v>
      </c>
      <c r="J10" s="19">
        <f>'05_Backlog_Canal'!E10</f>
        <v>0.452758855596467</v>
      </c>
      <c r="K10" s="19">
        <f>'05_Backlog_Canal'!F10</f>
        <v>0.36956933853474</v>
      </c>
      <c r="L10" s="64">
        <f t="shared" si="3"/>
        <v>8.318951706172701</v>
      </c>
      <c r="M10" s="15">
        <f t="shared" si="4"/>
        <v>1.1015567171364473E-2</v>
      </c>
      <c r="N10" s="65">
        <f t="shared" si="5"/>
        <v>0.84129338902491724</v>
      </c>
      <c r="O10" s="66">
        <f t="shared" si="6"/>
        <v>1.5303738417757009</v>
      </c>
      <c r="P10" s="67">
        <v>6</v>
      </c>
      <c r="Q10" s="11" t="str">
        <f t="shared" si="7"/>
        <v>Industrial</v>
      </c>
      <c r="R10" s="15">
        <f t="shared" si="8"/>
        <v>0.76500690608707156</v>
      </c>
    </row>
    <row r="11" spans="1:18" x14ac:dyDescent="0.25">
      <c r="A11" s="68" t="s">
        <v>143</v>
      </c>
      <c r="B11" s="68"/>
      <c r="C11" s="69">
        <f>SUM(C5:C10)</f>
        <v>1269124</v>
      </c>
      <c r="D11" s="69">
        <f>SUM(D5:D10)</f>
        <v>1058016</v>
      </c>
      <c r="E11" s="69">
        <f>SUM(E5:E10)</f>
        <v>1247362.875</v>
      </c>
      <c r="F11" s="69">
        <f>SUM(F5:F10)</f>
        <v>-189346.875</v>
      </c>
      <c r="G11" s="70">
        <f t="shared" si="1"/>
        <v>0.84820225229165969</v>
      </c>
      <c r="H11" s="68" t="str">
        <f t="shared" si="2"/>
        <v>Verde claro</v>
      </c>
      <c r="I11" s="69">
        <f>SUM(I5:I10)</f>
        <v>525529</v>
      </c>
      <c r="J11" s="71">
        <f>IFERROR(SUMPRODUCT(I5:I10,J5:J10)/I11,0)</f>
        <v>0.26897602275809962</v>
      </c>
      <c r="K11" s="71">
        <f>IFERROR(SUMPRODUCT('05_Backlog_Canal'!C5:C10,K5:K10)/'05_Backlog_Canal'!C11,0)</f>
        <v>0.22228002640462827</v>
      </c>
      <c r="L11" s="72">
        <f>(J11-K11)*100</f>
        <v>4.6695996353471356</v>
      </c>
      <c r="M11" s="70">
        <f>SUM(M5:M10)</f>
        <v>0.99999999999999989</v>
      </c>
      <c r="N11" s="73">
        <f t="shared" si="5"/>
        <v>1.1995319541481415</v>
      </c>
    </row>
    <row r="13" spans="1:18" x14ac:dyDescent="0.25">
      <c r="A13" s="5" t="s">
        <v>247</v>
      </c>
    </row>
    <row r="14" spans="1:18" x14ac:dyDescent="0.25">
      <c r="A14" s="10" t="s">
        <v>226</v>
      </c>
      <c r="C14" s="14">
        <f>C11</f>
        <v>1269124</v>
      </c>
    </row>
    <row r="15" spans="1:18" x14ac:dyDescent="0.25">
      <c r="A15" s="10" t="s">
        <v>227</v>
      </c>
      <c r="C15" s="14">
        <f>D11</f>
        <v>1058016</v>
      </c>
    </row>
    <row r="16" spans="1:18" x14ac:dyDescent="0.25">
      <c r="A16" s="10" t="s">
        <v>228</v>
      </c>
      <c r="C16" s="14">
        <f>E11</f>
        <v>1247362.875</v>
      </c>
    </row>
    <row r="17" spans="1:7" x14ac:dyDescent="0.25">
      <c r="A17" s="10" t="s">
        <v>248</v>
      </c>
      <c r="C17" s="14">
        <f>F11</f>
        <v>-189346.875</v>
      </c>
    </row>
    <row r="18" spans="1:7" x14ac:dyDescent="0.25">
      <c r="A18" s="10" t="s">
        <v>249</v>
      </c>
      <c r="C18" s="15">
        <f>G11</f>
        <v>0.84820225229165969</v>
      </c>
    </row>
    <row r="19" spans="1:7" x14ac:dyDescent="0.25">
      <c r="A19" s="10" t="s">
        <v>250</v>
      </c>
      <c r="C19" s="11" t="str">
        <f>COUNTIF(G5:G10,"&gt;=1")&amp;" de 6"</f>
        <v>1 de 6</v>
      </c>
    </row>
    <row r="20" spans="1:7" x14ac:dyDescent="0.25">
      <c r="A20" s="10" t="s">
        <v>251</v>
      </c>
      <c r="C20" s="14">
        <f>I11</f>
        <v>525529</v>
      </c>
    </row>
    <row r="21" spans="1:7" x14ac:dyDescent="0.25">
      <c r="A21" s="10" t="s">
        <v>252</v>
      </c>
      <c r="C21" s="74">
        <f>J11</f>
        <v>0.26897602275809962</v>
      </c>
    </row>
    <row r="22" spans="1:7" x14ac:dyDescent="0.25">
      <c r="A22" s="10" t="s">
        <v>253</v>
      </c>
      <c r="C22" s="14">
        <f>I11-'04_Backlog'!B5</f>
        <v>0</v>
      </c>
    </row>
    <row r="23" spans="1:7" x14ac:dyDescent="0.25">
      <c r="A23" s="10" t="s">
        <v>254</v>
      </c>
      <c r="C23" s="15">
        <f>IFERROR((F5+F7)/F11,0)</f>
        <v>0.98417718803122578</v>
      </c>
    </row>
    <row r="26" spans="1:7" x14ac:dyDescent="0.25">
      <c r="A26" s="8" t="s">
        <v>255</v>
      </c>
    </row>
    <row r="28" spans="1:7" x14ac:dyDescent="0.25">
      <c r="A28" s="5" t="s">
        <v>256</v>
      </c>
    </row>
    <row r="29" spans="1:7" ht="31.5" customHeight="1" x14ac:dyDescent="0.25">
      <c r="A29" s="9" t="s">
        <v>84</v>
      </c>
      <c r="B29" s="9" t="s">
        <v>257</v>
      </c>
      <c r="C29" s="9" t="s">
        <v>258</v>
      </c>
      <c r="D29" s="9" t="s">
        <v>259</v>
      </c>
      <c r="E29" s="9" t="s">
        <v>260</v>
      </c>
      <c r="F29" s="9" t="s">
        <v>235</v>
      </c>
      <c r="G29" s="9" t="s">
        <v>230</v>
      </c>
    </row>
    <row r="30" spans="1:7" x14ac:dyDescent="0.25">
      <c r="A30" s="10" t="str">
        <f t="shared" ref="A30:A36" si="9">A5</f>
        <v>Industrial</v>
      </c>
      <c r="B30" s="75">
        <f t="shared" ref="B30:C36" si="10">D5/1000</f>
        <v>339.58800000000002</v>
      </c>
      <c r="C30" s="75">
        <f t="shared" si="10"/>
        <v>443.90187500000002</v>
      </c>
      <c r="D30" s="74">
        <f t="shared" ref="D30:D36" si="11">IF(K5=0,"n.a.",K5)</f>
        <v>0.28692082751703302</v>
      </c>
      <c r="E30" s="74">
        <f t="shared" ref="E30:E36" si="12">J5</f>
        <v>0.33117135762133998</v>
      </c>
      <c r="F30" s="64">
        <f t="shared" ref="F30:F36" si="13">L5</f>
        <v>4.4250530104306964</v>
      </c>
      <c r="G30" s="15">
        <f t="shared" ref="G30:G36" si="14">G5</f>
        <v>0.76500690608707156</v>
      </c>
    </row>
    <row r="31" spans="1:7" x14ac:dyDescent="0.25">
      <c r="A31" s="10" t="str">
        <f t="shared" si="9"/>
        <v>Distribution</v>
      </c>
      <c r="B31" s="75">
        <f t="shared" si="10"/>
        <v>227.01599999999999</v>
      </c>
      <c r="C31" s="75">
        <f t="shared" si="10"/>
        <v>248.524</v>
      </c>
      <c r="D31" s="74">
        <f t="shared" si="11"/>
        <v>0.270100403669289</v>
      </c>
      <c r="E31" s="74">
        <f t="shared" si="12"/>
        <v>0.29966955928374001</v>
      </c>
      <c r="F31" s="64">
        <f t="shared" si="13"/>
        <v>2.9569155614451006</v>
      </c>
      <c r="G31" s="15">
        <f t="shared" si="14"/>
        <v>0.91345705042571346</v>
      </c>
    </row>
    <row r="32" spans="1:7" x14ac:dyDescent="0.25">
      <c r="A32" s="10" t="str">
        <f t="shared" si="9"/>
        <v>Other Geographies</v>
      </c>
      <c r="B32" s="75">
        <f t="shared" si="10"/>
        <v>306.07600000000002</v>
      </c>
      <c r="C32" s="75">
        <f t="shared" si="10"/>
        <v>388.113</v>
      </c>
      <c r="D32" s="74">
        <f t="shared" si="11"/>
        <v>0.104274012878321</v>
      </c>
      <c r="E32" s="74">
        <f t="shared" si="12"/>
        <v>0.14624363476804</v>
      </c>
      <c r="F32" s="64">
        <f t="shared" si="13"/>
        <v>4.1969621889719004</v>
      </c>
      <c r="G32" s="15">
        <f t="shared" si="14"/>
        <v>0.78862599294535352</v>
      </c>
    </row>
    <row r="33" spans="1:7" x14ac:dyDescent="0.25">
      <c r="A33" s="10" t="str">
        <f t="shared" si="9"/>
        <v>Cold Storage</v>
      </c>
      <c r="B33" s="75">
        <f t="shared" si="10"/>
        <v>9.1910000000000007</v>
      </c>
      <c r="C33" s="75">
        <f t="shared" si="10"/>
        <v>10</v>
      </c>
      <c r="D33" s="74">
        <f t="shared" si="11"/>
        <v>0.386802424242424</v>
      </c>
      <c r="E33" s="74">
        <f t="shared" si="12"/>
        <v>0.28058377005396101</v>
      </c>
      <c r="F33" s="64">
        <f t="shared" si="13"/>
        <v>-10.6218654188463</v>
      </c>
      <c r="G33" s="15">
        <f t="shared" si="14"/>
        <v>0.91910000000000003</v>
      </c>
    </row>
    <row r="34" spans="1:7" x14ac:dyDescent="0.25">
      <c r="A34" s="10" t="str">
        <f t="shared" si="9"/>
        <v>Site Cali</v>
      </c>
      <c r="B34" s="75">
        <f t="shared" si="10"/>
        <v>106.715</v>
      </c>
      <c r="C34" s="75">
        <f t="shared" si="10"/>
        <v>111.456</v>
      </c>
      <c r="D34" s="74" t="str">
        <f t="shared" si="11"/>
        <v>n.a.</v>
      </c>
      <c r="E34" s="74">
        <f t="shared" si="12"/>
        <v>0.36773598338822699</v>
      </c>
      <c r="F34" s="64" t="str">
        <f t="shared" si="13"/>
        <v>n.a.</v>
      </c>
      <c r="G34" s="15">
        <f t="shared" si="14"/>
        <v>0.95746303474016647</v>
      </c>
    </row>
    <row r="35" spans="1:7" x14ac:dyDescent="0.25">
      <c r="A35" s="10" t="str">
        <f t="shared" si="9"/>
        <v>Alternative Sales</v>
      </c>
      <c r="B35" s="75">
        <f t="shared" si="10"/>
        <v>69.430000000000007</v>
      </c>
      <c r="C35" s="75">
        <f t="shared" si="10"/>
        <v>45.368000000000002</v>
      </c>
      <c r="D35" s="74">
        <f t="shared" si="11"/>
        <v>0.36956933853474</v>
      </c>
      <c r="E35" s="74">
        <f t="shared" si="12"/>
        <v>0.452758855596467</v>
      </c>
      <c r="F35" s="64">
        <f t="shared" si="13"/>
        <v>8.318951706172701</v>
      </c>
      <c r="G35" s="15">
        <f t="shared" si="14"/>
        <v>1.530373831775701</v>
      </c>
    </row>
    <row r="36" spans="1:7" x14ac:dyDescent="0.25">
      <c r="A36" s="68" t="str">
        <f t="shared" si="9"/>
        <v>TOTAL</v>
      </c>
      <c r="B36" s="76">
        <f t="shared" si="10"/>
        <v>1058.0160000000001</v>
      </c>
      <c r="C36" s="76">
        <f t="shared" si="10"/>
        <v>1247.362875</v>
      </c>
      <c r="D36" s="71">
        <f t="shared" si="11"/>
        <v>0.22228002640462827</v>
      </c>
      <c r="E36" s="71">
        <f t="shared" si="12"/>
        <v>0.26897602275809962</v>
      </c>
      <c r="F36" s="72">
        <f t="shared" si="13"/>
        <v>4.6695996353471356</v>
      </c>
      <c r="G36" s="70">
        <f t="shared" si="14"/>
        <v>0.84820225229165969</v>
      </c>
    </row>
    <row r="37" spans="1:7" x14ac:dyDescent="0.25">
      <c r="A37" s="8" t="s">
        <v>261</v>
      </c>
    </row>
  </sheetData>
  <conditionalFormatting sqref="G5:G11">
    <cfRule type="cellIs" dxfId="49" priority="2" operator="greaterThan">
      <formula>1.005</formula>
    </cfRule>
    <cfRule type="cellIs" dxfId="48" priority="3" operator="between">
      <formula>0.845</formula>
      <formula>1.005</formula>
    </cfRule>
    <cfRule type="cellIs" dxfId="47" priority="4" operator="between">
      <formula>0.605</formula>
      <formula>0.845</formula>
    </cfRule>
    <cfRule type="cellIs" dxfId="46" priority="5" operator="lessThan">
      <formula>0.605</formula>
    </cfRule>
  </conditionalFormatting>
  <conditionalFormatting sqref="G30:G36">
    <cfRule type="cellIs" dxfId="45" priority="10" operator="greaterThan">
      <formula>1.005</formula>
    </cfRule>
    <cfRule type="cellIs" dxfId="44" priority="11" operator="between">
      <formula>0.845</formula>
      <formula>1.005</formula>
    </cfRule>
    <cfRule type="cellIs" dxfId="43" priority="12" operator="between">
      <formula>0.605</formula>
      <formula>0.845</formula>
    </cfRule>
    <cfRule type="cellIs" dxfId="42" priority="13" operator="lessThan">
      <formula>0.605</formula>
    </cfRule>
  </conditionalFormatting>
  <conditionalFormatting sqref="R5:R10">
    <cfRule type="cellIs" dxfId="41" priority="6" operator="greaterThan">
      <formula>1.005</formula>
    </cfRule>
    <cfRule type="cellIs" dxfId="40" priority="7" operator="between">
      <formula>0.845</formula>
      <formula>1.005</formula>
    </cfRule>
    <cfRule type="cellIs" dxfId="39" priority="8" operator="between">
      <formula>0.605</formula>
      <formula>0.845</formula>
    </cfRule>
    <cfRule type="cellIs" dxfId="38" priority="9" operator="lessThan">
      <formula>0.605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61530"/>
  </sheetPr>
  <dimension ref="A1:P25"/>
  <sheetViews>
    <sheetView showGridLines="0" zoomScaleNormal="100" workbookViewId="0">
      <selection activeCell="E39" sqref="E38:E39"/>
    </sheetView>
  </sheetViews>
  <sheetFormatPr baseColWidth="10" defaultColWidth="8.7109375" defaultRowHeight="15" x14ac:dyDescent="0.25"/>
  <cols>
    <col min="1" max="1" width="38" customWidth="1"/>
    <col min="2" max="2" width="22" customWidth="1"/>
    <col min="3" max="4" width="13" customWidth="1"/>
    <col min="5" max="5" width="14" customWidth="1"/>
    <col min="6" max="6" width="11" customWidth="1"/>
    <col min="7" max="7" width="10" customWidth="1"/>
    <col min="8" max="8" width="13" customWidth="1"/>
    <col min="9" max="10" width="12" customWidth="1"/>
    <col min="11" max="11" width="2" customWidth="1"/>
    <col min="12" max="12" width="5" customWidth="1"/>
    <col min="13" max="13" width="26" customWidth="1"/>
    <col min="14" max="14" width="10" customWidth="1"/>
    <col min="15" max="16" width="12" customWidth="1"/>
  </cols>
  <sheetData>
    <row r="1" spans="1:16" ht="18" customHeight="1" x14ac:dyDescent="0.25">
      <c r="A1" s="2" t="s">
        <v>262</v>
      </c>
    </row>
    <row r="2" spans="1:16" x14ac:dyDescent="0.25">
      <c r="A2" s="24" t="s">
        <v>263</v>
      </c>
    </row>
    <row r="4" spans="1:16" ht="30" customHeight="1" x14ac:dyDescent="0.25">
      <c r="A4" s="25" t="s">
        <v>264</v>
      </c>
      <c r="B4" s="25" t="s">
        <v>265</v>
      </c>
      <c r="C4" s="25" t="s">
        <v>266</v>
      </c>
      <c r="D4" s="25" t="s">
        <v>267</v>
      </c>
      <c r="E4" s="25" t="s">
        <v>268</v>
      </c>
      <c r="F4" s="25" t="s">
        <v>269</v>
      </c>
      <c r="G4" s="25" t="s">
        <v>231</v>
      </c>
      <c r="H4" s="25" t="s">
        <v>270</v>
      </c>
      <c r="I4" s="25" t="s">
        <v>271</v>
      </c>
      <c r="J4" s="25" t="s">
        <v>272</v>
      </c>
      <c r="L4" s="77" t="s">
        <v>47</v>
      </c>
      <c r="M4" s="77" t="s">
        <v>273</v>
      </c>
      <c r="N4" s="77" t="s">
        <v>239</v>
      </c>
      <c r="O4" s="77" t="s">
        <v>274</v>
      </c>
      <c r="P4" s="77" t="s">
        <v>275</v>
      </c>
    </row>
    <row r="5" spans="1:16" x14ac:dyDescent="0.25">
      <c r="A5" s="31" t="s">
        <v>276</v>
      </c>
      <c r="B5" s="31" t="s">
        <v>277</v>
      </c>
      <c r="C5" s="27">
        <v>135074</v>
      </c>
      <c r="D5" s="78">
        <v>140201</v>
      </c>
      <c r="E5" s="27">
        <v>83093</v>
      </c>
      <c r="F5" s="45">
        <f t="shared" ref="F5:F17" si="0">IF(A5="","",IF(E5=0,0,D5/E5))</f>
        <v>1.6872781100694403</v>
      </c>
      <c r="G5" s="79" t="str">
        <f t="shared" ref="G5:G17" si="1">IF(F5="","",IF(F5&gt;=1,"Verde",IF(F5&gt;=0.7,"Ámbar","Rojo")))</f>
        <v>Verde</v>
      </c>
      <c r="H5" s="27">
        <v>74948</v>
      </c>
      <c r="I5" s="27">
        <v>0</v>
      </c>
      <c r="J5" s="80">
        <f t="shared" ref="J5:J17" si="2">IF(A5="","",F5+D5/1000000000+(100-ROW())/1000000000000)</f>
        <v>1.6874183111644403</v>
      </c>
      <c r="L5" s="32">
        <v>1</v>
      </c>
      <c r="M5" s="30" t="str">
        <f t="shared" ref="M5:M17" si="3">IF(L5&gt;COUNT($J$5:$J$17),"",INDEX($B$5:$B$17,MATCH(LARGE($J$5:$J$17,L5),$J$5:$J$17,0)))</f>
        <v>Ana I. Arias</v>
      </c>
      <c r="N5" s="45">
        <f t="shared" ref="N5:N17" si="4">IF(M5="","",INDEX($F$5:$F$17,MATCH(LARGE($J$5:$J$17,L5),$J$5:$J$17,0)))</f>
        <v>1.6872781100694403</v>
      </c>
      <c r="O5" s="49">
        <f t="shared" ref="O5:O17" si="5">IF(M5="","",INDEX($D$5:$D$17,MATCH(LARGE($J$5:$J$17,L5),$J$5:$J$17,0)))</f>
        <v>140201</v>
      </c>
      <c r="P5" s="49">
        <f t="shared" ref="P5:P17" si="6">IF(M5="","",INDEX($E$5:$E$17,MATCH(LARGE($J$5:$J$17,L5),$J$5:$J$17,0)))</f>
        <v>83093</v>
      </c>
    </row>
    <row r="6" spans="1:16" x14ac:dyDescent="0.25">
      <c r="A6" s="31" t="s">
        <v>278</v>
      </c>
      <c r="B6" s="31" t="s">
        <v>279</v>
      </c>
      <c r="C6" s="27">
        <f>47727+2040+2699</f>
        <v>52466</v>
      </c>
      <c r="D6" s="78">
        <f>30473+4728</f>
        <v>35201</v>
      </c>
      <c r="E6" s="27">
        <f>36220+27698</f>
        <v>63918</v>
      </c>
      <c r="F6" s="45">
        <f t="shared" si="0"/>
        <v>0.55072123658437377</v>
      </c>
      <c r="G6" s="79" t="str">
        <f t="shared" si="1"/>
        <v>Rojo</v>
      </c>
      <c r="H6" s="27">
        <v>29686</v>
      </c>
      <c r="I6" s="27">
        <v>0</v>
      </c>
      <c r="J6" s="80">
        <f t="shared" si="2"/>
        <v>0.55075643767837379</v>
      </c>
      <c r="L6" s="32">
        <v>2</v>
      </c>
      <c r="M6" s="30" t="str">
        <f t="shared" si="3"/>
        <v>Julio C. Guerrero</v>
      </c>
      <c r="N6" s="45">
        <f t="shared" si="4"/>
        <v>1.4024235039263471</v>
      </c>
      <c r="O6" s="49">
        <f t="shared" si="5"/>
        <v>103583</v>
      </c>
      <c r="P6" s="49">
        <f t="shared" si="6"/>
        <v>73860</v>
      </c>
    </row>
    <row r="7" spans="1:16" x14ac:dyDescent="0.25">
      <c r="A7" s="31" t="s">
        <v>280</v>
      </c>
      <c r="B7" s="31" t="s">
        <v>281</v>
      </c>
      <c r="C7" s="27">
        <v>115336</v>
      </c>
      <c r="D7" s="78">
        <v>103583</v>
      </c>
      <c r="E7" s="27">
        <v>73860</v>
      </c>
      <c r="F7" s="45">
        <f t="shared" si="0"/>
        <v>1.4024235039263471</v>
      </c>
      <c r="G7" s="79" t="str">
        <f t="shared" si="1"/>
        <v>Verde</v>
      </c>
      <c r="H7" s="27">
        <v>18759</v>
      </c>
      <c r="I7" s="27">
        <v>0</v>
      </c>
      <c r="J7" s="80">
        <f t="shared" si="2"/>
        <v>1.4025270870193471</v>
      </c>
      <c r="L7" s="32">
        <v>3</v>
      </c>
      <c r="M7" s="30" t="str">
        <f t="shared" si="3"/>
        <v>Diego A. Calderón</v>
      </c>
      <c r="N7" s="45">
        <f t="shared" si="4"/>
        <v>0.82003046028880866</v>
      </c>
      <c r="O7" s="49">
        <f t="shared" si="5"/>
        <v>29075</v>
      </c>
      <c r="P7" s="49">
        <f t="shared" si="6"/>
        <v>35456</v>
      </c>
    </row>
    <row r="8" spans="1:16" x14ac:dyDescent="0.25">
      <c r="A8" s="31" t="s">
        <v>282</v>
      </c>
      <c r="B8" s="31" t="s">
        <v>283</v>
      </c>
      <c r="C8" s="27">
        <v>42594</v>
      </c>
      <c r="D8" s="78">
        <v>29075</v>
      </c>
      <c r="E8" s="27">
        <v>35456</v>
      </c>
      <c r="F8" s="45">
        <f t="shared" si="0"/>
        <v>0.82003046028880866</v>
      </c>
      <c r="G8" s="79" t="str">
        <f t="shared" si="1"/>
        <v>Ámbar</v>
      </c>
      <c r="H8" s="27">
        <v>27745</v>
      </c>
      <c r="I8" s="27">
        <v>0</v>
      </c>
      <c r="J8" s="80">
        <f t="shared" si="2"/>
        <v>0.82005953538080867</v>
      </c>
      <c r="L8" s="32">
        <v>4</v>
      </c>
      <c r="M8" s="30" t="str">
        <f t="shared" si="3"/>
        <v>Ejec. Zona Norte</v>
      </c>
      <c r="N8" s="45">
        <f t="shared" si="4"/>
        <v>0.55072123658437377</v>
      </c>
      <c r="O8" s="49">
        <f t="shared" si="5"/>
        <v>35201</v>
      </c>
      <c r="P8" s="49">
        <f t="shared" si="6"/>
        <v>63918</v>
      </c>
    </row>
    <row r="9" spans="1:16" x14ac:dyDescent="0.25">
      <c r="A9" s="31" t="s">
        <v>284</v>
      </c>
      <c r="B9" s="31" t="s">
        <v>285</v>
      </c>
      <c r="C9" s="27">
        <v>36716</v>
      </c>
      <c r="D9" s="78">
        <v>27897</v>
      </c>
      <c r="E9" s="27">
        <v>58259</v>
      </c>
      <c r="F9" s="45">
        <f t="shared" si="0"/>
        <v>0.47884447038225852</v>
      </c>
      <c r="G9" s="79" t="str">
        <f t="shared" si="1"/>
        <v>Rojo</v>
      </c>
      <c r="H9" s="27">
        <v>22797</v>
      </c>
      <c r="I9" s="27">
        <v>18</v>
      </c>
      <c r="J9" s="80">
        <f t="shared" si="2"/>
        <v>0.47887236747325851</v>
      </c>
      <c r="L9" s="32">
        <v>5</v>
      </c>
      <c r="M9" s="30" t="str">
        <f t="shared" si="3"/>
        <v>Yolanda Candela</v>
      </c>
      <c r="N9" s="45">
        <f t="shared" si="4"/>
        <v>0.47884447038225852</v>
      </c>
      <c r="O9" s="49">
        <f t="shared" si="5"/>
        <v>27897</v>
      </c>
      <c r="P9" s="49">
        <f t="shared" si="6"/>
        <v>58259</v>
      </c>
    </row>
    <row r="10" spans="1:16" x14ac:dyDescent="0.25">
      <c r="A10" s="31" t="s">
        <v>286</v>
      </c>
      <c r="B10" s="31" t="s">
        <v>287</v>
      </c>
      <c r="C10" s="27">
        <v>10539</v>
      </c>
      <c r="D10" s="78">
        <v>2608</v>
      </c>
      <c r="E10" s="27">
        <v>31201.125</v>
      </c>
      <c r="F10" s="45">
        <f t="shared" si="0"/>
        <v>8.3586729645165045E-2</v>
      </c>
      <c r="G10" s="79" t="str">
        <f t="shared" si="1"/>
        <v>Rojo</v>
      </c>
      <c r="H10" s="27">
        <v>0</v>
      </c>
      <c r="I10" s="27">
        <v>0</v>
      </c>
      <c r="J10" s="80">
        <f t="shared" si="2"/>
        <v>8.358933773516504E-2</v>
      </c>
      <c r="L10" s="32">
        <v>7</v>
      </c>
      <c r="M10" s="30" t="str">
        <f t="shared" si="3"/>
        <v>León A. Naranjo</v>
      </c>
      <c r="N10" s="45">
        <f t="shared" si="4"/>
        <v>3.2811334824757642E-2</v>
      </c>
      <c r="O10" s="49">
        <f t="shared" si="5"/>
        <v>924</v>
      </c>
      <c r="P10" s="49">
        <f t="shared" si="6"/>
        <v>28161</v>
      </c>
    </row>
    <row r="11" spans="1:16" x14ac:dyDescent="0.25">
      <c r="A11" s="31" t="s">
        <v>288</v>
      </c>
      <c r="B11" s="31" t="s">
        <v>289</v>
      </c>
      <c r="C11" s="27">
        <v>14965</v>
      </c>
      <c r="D11" s="78">
        <v>924</v>
      </c>
      <c r="E11" s="27">
        <v>28161</v>
      </c>
      <c r="F11" s="45">
        <f t="shared" si="0"/>
        <v>3.2811334824757642E-2</v>
      </c>
      <c r="G11" s="79" t="str">
        <f t="shared" si="1"/>
        <v>Rojo</v>
      </c>
      <c r="H11" s="27">
        <v>14041</v>
      </c>
      <c r="I11" s="27">
        <v>1895</v>
      </c>
      <c r="J11" s="80">
        <f t="shared" si="2"/>
        <v>3.2812258913757643E-2</v>
      </c>
      <c r="L11" s="32">
        <v>9</v>
      </c>
      <c r="M11" s="30" t="str">
        <f t="shared" si="3"/>
        <v>Ejec. Zona Bogotá</v>
      </c>
      <c r="N11" s="45">
        <f t="shared" si="4"/>
        <v>0</v>
      </c>
      <c r="O11" s="49">
        <f t="shared" si="5"/>
        <v>0</v>
      </c>
      <c r="P11" s="49">
        <f t="shared" si="6"/>
        <v>50778.75</v>
      </c>
    </row>
    <row r="12" spans="1:16" x14ac:dyDescent="0.25">
      <c r="A12" s="31" t="s">
        <v>290</v>
      </c>
      <c r="B12" s="31" t="s">
        <v>291</v>
      </c>
      <c r="C12" s="27">
        <v>22878</v>
      </c>
      <c r="D12" s="78">
        <v>99</v>
      </c>
      <c r="E12" s="27">
        <v>19175</v>
      </c>
      <c r="F12" s="45">
        <f t="shared" si="0"/>
        <v>5.1629726205997392E-3</v>
      </c>
      <c r="G12" s="79" t="str">
        <f t="shared" si="1"/>
        <v>Rojo</v>
      </c>
      <c r="H12" s="27">
        <v>22779</v>
      </c>
      <c r="I12" s="27">
        <v>0</v>
      </c>
      <c r="J12" s="80">
        <f t="shared" si="2"/>
        <v>5.1630717085997388E-3</v>
      </c>
      <c r="L12" s="32">
        <v>10</v>
      </c>
      <c r="M12" s="30" t="str">
        <f t="shared" si="3"/>
        <v/>
      </c>
      <c r="N12" s="45" t="str">
        <f t="shared" si="4"/>
        <v/>
      </c>
      <c r="O12" s="49" t="str">
        <f t="shared" si="5"/>
        <v/>
      </c>
      <c r="P12" s="49" t="str">
        <f t="shared" si="6"/>
        <v/>
      </c>
    </row>
    <row r="13" spans="1:16" x14ac:dyDescent="0.25">
      <c r="A13" s="31" t="s">
        <v>292</v>
      </c>
      <c r="B13" s="31" t="s">
        <v>293</v>
      </c>
      <c r="C13" s="27">
        <v>0</v>
      </c>
      <c r="D13" s="27">
        <v>0</v>
      </c>
      <c r="E13" s="27">
        <v>50778.75</v>
      </c>
      <c r="F13" s="45">
        <f t="shared" si="0"/>
        <v>0</v>
      </c>
      <c r="G13" s="79" t="str">
        <f t="shared" si="1"/>
        <v>Rojo</v>
      </c>
      <c r="H13" s="27">
        <v>0</v>
      </c>
      <c r="I13" s="27">
        <v>0</v>
      </c>
      <c r="J13" s="80">
        <f t="shared" si="2"/>
        <v>8.6999999999999997E-11</v>
      </c>
      <c r="L13" s="32">
        <v>11</v>
      </c>
      <c r="M13" s="30" t="str">
        <f t="shared" si="3"/>
        <v/>
      </c>
      <c r="N13" s="45" t="str">
        <f t="shared" si="4"/>
        <v/>
      </c>
      <c r="O13" s="49" t="str">
        <f t="shared" si="5"/>
        <v/>
      </c>
      <c r="P13" s="49" t="str">
        <f t="shared" si="6"/>
        <v/>
      </c>
    </row>
    <row r="14" spans="1:16" x14ac:dyDescent="0.25">
      <c r="A14" s="31"/>
      <c r="B14" s="31"/>
      <c r="C14" s="27"/>
      <c r="D14" s="27"/>
      <c r="E14" s="27"/>
      <c r="F14" s="45" t="str">
        <f t="shared" si="0"/>
        <v/>
      </c>
      <c r="G14" s="79" t="str">
        <f t="shared" si="1"/>
        <v/>
      </c>
      <c r="H14" s="27"/>
      <c r="I14" s="27"/>
      <c r="J14" s="80" t="str">
        <f t="shared" si="2"/>
        <v/>
      </c>
      <c r="L14" s="32">
        <v>12</v>
      </c>
      <c r="M14" s="30" t="str">
        <f t="shared" si="3"/>
        <v/>
      </c>
      <c r="N14" s="45" t="str">
        <f t="shared" si="4"/>
        <v/>
      </c>
      <c r="O14" s="49" t="str">
        <f t="shared" si="5"/>
        <v/>
      </c>
      <c r="P14" s="49" t="str">
        <f t="shared" si="6"/>
        <v/>
      </c>
    </row>
    <row r="15" spans="1:16" x14ac:dyDescent="0.25">
      <c r="A15" s="31"/>
      <c r="B15" s="31"/>
      <c r="C15" s="27"/>
      <c r="D15" s="27"/>
      <c r="E15" s="27"/>
      <c r="F15" s="45" t="str">
        <f t="shared" si="0"/>
        <v/>
      </c>
      <c r="G15" s="79" t="str">
        <f t="shared" si="1"/>
        <v/>
      </c>
      <c r="H15" s="27"/>
      <c r="I15" s="27"/>
      <c r="J15" s="80" t="str">
        <f t="shared" si="2"/>
        <v/>
      </c>
      <c r="L15" s="32">
        <v>13</v>
      </c>
      <c r="M15" s="30" t="str">
        <f t="shared" si="3"/>
        <v/>
      </c>
      <c r="N15" s="45" t="str">
        <f t="shared" si="4"/>
        <v/>
      </c>
      <c r="O15" s="49" t="str">
        <f t="shared" si="5"/>
        <v/>
      </c>
      <c r="P15" s="49" t="str">
        <f t="shared" si="6"/>
        <v/>
      </c>
    </row>
    <row r="16" spans="1:16" x14ac:dyDescent="0.25">
      <c r="A16" s="31"/>
      <c r="B16" s="31"/>
      <c r="C16" s="27"/>
      <c r="D16" s="27"/>
      <c r="E16" s="27"/>
      <c r="F16" s="45" t="str">
        <f t="shared" si="0"/>
        <v/>
      </c>
      <c r="G16" s="79" t="str">
        <f t="shared" si="1"/>
        <v/>
      </c>
      <c r="H16" s="27"/>
      <c r="I16" s="27"/>
      <c r="J16" s="80" t="str">
        <f t="shared" si="2"/>
        <v/>
      </c>
      <c r="L16" s="32">
        <v>14</v>
      </c>
      <c r="M16" s="30" t="str">
        <f t="shared" si="3"/>
        <v/>
      </c>
      <c r="N16" s="45" t="str">
        <f t="shared" si="4"/>
        <v/>
      </c>
      <c r="O16" s="49" t="str">
        <f t="shared" si="5"/>
        <v/>
      </c>
      <c r="P16" s="49" t="str">
        <f t="shared" si="6"/>
        <v/>
      </c>
    </row>
    <row r="17" spans="1:16" x14ac:dyDescent="0.25">
      <c r="A17" s="31"/>
      <c r="B17" s="31"/>
      <c r="C17" s="27"/>
      <c r="D17" s="27"/>
      <c r="E17" s="27"/>
      <c r="F17" s="45" t="str">
        <f t="shared" si="0"/>
        <v/>
      </c>
      <c r="G17" s="79" t="str">
        <f t="shared" si="1"/>
        <v/>
      </c>
      <c r="H17" s="27"/>
      <c r="I17" s="27"/>
      <c r="J17" s="80" t="str">
        <f t="shared" si="2"/>
        <v/>
      </c>
      <c r="L17" s="32">
        <v>15</v>
      </c>
      <c r="M17" s="30" t="str">
        <f t="shared" si="3"/>
        <v/>
      </c>
      <c r="N17" s="45" t="str">
        <f t="shared" si="4"/>
        <v/>
      </c>
      <c r="O17" s="49" t="str">
        <f t="shared" si="5"/>
        <v/>
      </c>
      <c r="P17" s="49" t="str">
        <f t="shared" si="6"/>
        <v/>
      </c>
    </row>
    <row r="18" spans="1:16" x14ac:dyDescent="0.25">
      <c r="A18" s="33" t="s">
        <v>294</v>
      </c>
      <c r="B18" s="33" t="str">
        <f>COUNTA(A5:A17)&amp;" RSM"</f>
        <v>9 RSM</v>
      </c>
      <c r="C18" s="34">
        <f>SUM(C5:C17)</f>
        <v>430568</v>
      </c>
      <c r="D18" s="34">
        <f>SUM(D5:D17)</f>
        <v>339588</v>
      </c>
      <c r="E18" s="34">
        <f>SUM(E5:E17)</f>
        <v>443901.875</v>
      </c>
      <c r="F18" s="48">
        <f>IF(E18=0,0,D18/E18)</f>
        <v>0.76500690608707156</v>
      </c>
      <c r="G18" s="33" t="str">
        <f>IF(F18&gt;=1,"Verde",IF(F18&gt;=0.7,"Ámbar","Rojo"))</f>
        <v>Ámbar</v>
      </c>
      <c r="H18" s="34">
        <f>SUM(H5:H17)</f>
        <v>210755</v>
      </c>
      <c r="I18" s="34">
        <f>SUM(I5:I17)</f>
        <v>1913</v>
      </c>
    </row>
    <row r="20" spans="1:16" x14ac:dyDescent="0.25">
      <c r="A20" s="26" t="s">
        <v>295</v>
      </c>
    </row>
    <row r="21" spans="1:16" x14ac:dyDescent="0.25">
      <c r="A21" s="30" t="s">
        <v>296</v>
      </c>
      <c r="B21" s="32">
        <f>COUNTIF(F5:F17,"&gt;=1")</f>
        <v>2</v>
      </c>
    </row>
    <row r="22" spans="1:16" x14ac:dyDescent="0.25">
      <c r="A22" s="30" t="s">
        <v>297</v>
      </c>
      <c r="B22" s="32">
        <f>COUNTIFS(F5:F17,"&lt;0.7",A5:A17,"&lt;&gt;")</f>
        <v>0</v>
      </c>
    </row>
    <row r="23" spans="1:16" x14ac:dyDescent="0.25">
      <c r="A23" s="30" t="s">
        <v>229</v>
      </c>
      <c r="B23" s="49">
        <f>D18-E18</f>
        <v>-104313.875</v>
      </c>
    </row>
    <row r="24" spans="1:16" x14ac:dyDescent="0.25">
      <c r="A24" s="30" t="s">
        <v>251</v>
      </c>
      <c r="B24" s="49">
        <f>H18+I18</f>
        <v>212668</v>
      </c>
    </row>
    <row r="25" spans="1:16" x14ac:dyDescent="0.25">
      <c r="A25" s="30" t="s">
        <v>237</v>
      </c>
      <c r="B25" s="29">
        <f>IFERROR(C18/D18,"")</f>
        <v>1.2679128826695878</v>
      </c>
    </row>
  </sheetData>
  <conditionalFormatting sqref="N5:N17 F5:F18">
    <cfRule type="cellIs" dxfId="37" priority="2" operator="greaterThanOrEqual">
      <formula>1</formula>
    </cfRule>
    <cfRule type="cellIs" dxfId="36" priority="3" operator="between">
      <formula>0.7</formula>
      <formula>0.9999</formula>
    </cfRule>
    <cfRule type="cellIs" dxfId="35" priority="4" operator="lessThan">
      <formula>0.7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61530"/>
  </sheetPr>
  <dimension ref="A1:P27"/>
  <sheetViews>
    <sheetView showGridLines="0" zoomScaleNormal="100" workbookViewId="0">
      <selection activeCell="C53" sqref="C53"/>
    </sheetView>
  </sheetViews>
  <sheetFormatPr baseColWidth="10" defaultColWidth="8.7109375" defaultRowHeight="15" x14ac:dyDescent="0.25"/>
  <cols>
    <col min="1" max="1" width="38" customWidth="1"/>
    <col min="2" max="2" width="22" customWidth="1"/>
    <col min="3" max="4" width="13" customWidth="1"/>
    <col min="5" max="5" width="14" customWidth="1"/>
    <col min="6" max="6" width="11" customWidth="1"/>
    <col min="7" max="7" width="10" customWidth="1"/>
    <col min="8" max="8" width="13" customWidth="1"/>
    <col min="9" max="10" width="12" customWidth="1"/>
    <col min="11" max="11" width="2" customWidth="1"/>
    <col min="12" max="12" width="5" customWidth="1"/>
    <col min="13" max="13" width="26" customWidth="1"/>
    <col min="14" max="14" width="10" customWidth="1"/>
    <col min="15" max="16" width="12" customWidth="1"/>
  </cols>
  <sheetData>
    <row r="1" spans="1:16" ht="18" customHeight="1" x14ac:dyDescent="0.25">
      <c r="A1" s="2" t="s">
        <v>298</v>
      </c>
    </row>
    <row r="2" spans="1:16" x14ac:dyDescent="0.25">
      <c r="A2" s="24" t="s">
        <v>263</v>
      </c>
    </row>
    <row r="4" spans="1:16" ht="30" customHeight="1" x14ac:dyDescent="0.25">
      <c r="A4" s="25" t="s">
        <v>264</v>
      </c>
      <c r="B4" s="25" t="s">
        <v>265</v>
      </c>
      <c r="C4" s="25" t="s">
        <v>266</v>
      </c>
      <c r="D4" s="25" t="s">
        <v>267</v>
      </c>
      <c r="E4" s="25" t="s">
        <v>268</v>
      </c>
      <c r="F4" s="25" t="s">
        <v>269</v>
      </c>
      <c r="G4" s="25" t="s">
        <v>231</v>
      </c>
      <c r="H4" s="25" t="s">
        <v>270</v>
      </c>
      <c r="I4" s="25" t="s">
        <v>271</v>
      </c>
      <c r="J4" s="25" t="s">
        <v>272</v>
      </c>
      <c r="L4" s="77" t="s">
        <v>47</v>
      </c>
      <c r="M4" s="77" t="s">
        <v>273</v>
      </c>
      <c r="N4" s="77" t="s">
        <v>239</v>
      </c>
      <c r="O4" s="77" t="s">
        <v>274</v>
      </c>
      <c r="P4" s="77" t="s">
        <v>275</v>
      </c>
    </row>
    <row r="5" spans="1:16" x14ac:dyDescent="0.25">
      <c r="A5" s="31" t="s">
        <v>299</v>
      </c>
      <c r="B5" s="31" t="s">
        <v>300</v>
      </c>
      <c r="C5" s="27">
        <v>4476</v>
      </c>
      <c r="D5" s="27">
        <v>10800</v>
      </c>
      <c r="E5" s="78">
        <v>5611</v>
      </c>
      <c r="F5" s="45">
        <f t="shared" ref="F5:F19" si="0">IF(A5="","",IF(E5=0,0,D5/E5))</f>
        <v>1.9247905899126716</v>
      </c>
      <c r="G5" s="79" t="str">
        <f t="shared" ref="G5:G19" si="1">IF(F5="","",IF(F5&gt;=1,"Verde",IF(F5&gt;=0.7,"Ámbar","Rojo")))</f>
        <v>Verde</v>
      </c>
      <c r="H5" s="27">
        <v>0</v>
      </c>
      <c r="I5" s="27">
        <v>0</v>
      </c>
      <c r="J5" s="80">
        <f t="shared" ref="J5:J19" si="2">IF(A5="","",F5+D5/1000000000+(100-ROW())/1000000000000)</f>
        <v>1.9248013900076717</v>
      </c>
      <c r="L5" s="32">
        <v>1</v>
      </c>
      <c r="M5" s="30" t="str">
        <f t="shared" ref="M5:M19" si="3">IF(L5&gt;COUNT($J$5:$J$19),"",INDEX($B$5:$B$19,MATCH(LARGE($J$5:$J$19,L5),$J$5:$J$19,0)))</f>
        <v>Ejec. Eje Cafetero</v>
      </c>
      <c r="N5" s="45">
        <f t="shared" ref="N5:N19" si="4">IF(M5="","",INDEX($F$5:$F$19,MATCH(LARGE($J$5:$J$19,L5),$J$5:$J$19,0)))</f>
        <v>1.9834254143646408</v>
      </c>
      <c r="O5" s="49">
        <f t="shared" ref="O5:O19" si="5">IF(M5="","",INDEX($D$5:$D$19,MATCH(LARGE($J$5:$J$19,L5),$J$5:$J$19,0)))</f>
        <v>11129</v>
      </c>
      <c r="P5" s="49">
        <f t="shared" ref="P5:P19" si="6">IF(M5="","",INDEX($E$5:$E$19,MATCH(LARGE($J$5:$J$19,L5),$J$5:$J$19,0)))</f>
        <v>5611</v>
      </c>
    </row>
    <row r="6" spans="1:16" x14ac:dyDescent="0.25">
      <c r="A6" s="31" t="s">
        <v>301</v>
      </c>
      <c r="B6" s="31" t="s">
        <v>302</v>
      </c>
      <c r="C6" s="27">
        <v>7780</v>
      </c>
      <c r="D6" s="27">
        <v>11129</v>
      </c>
      <c r="E6" s="78">
        <v>5611</v>
      </c>
      <c r="F6" s="45">
        <f t="shared" si="0"/>
        <v>1.9834254143646408</v>
      </c>
      <c r="G6" s="79" t="str">
        <f t="shared" si="1"/>
        <v>Verde</v>
      </c>
      <c r="H6" s="27">
        <v>0</v>
      </c>
      <c r="I6" s="27">
        <v>0</v>
      </c>
      <c r="J6" s="80">
        <f t="shared" si="2"/>
        <v>1.9834365434586407</v>
      </c>
      <c r="L6" s="32">
        <v>2</v>
      </c>
      <c r="M6" s="30" t="str">
        <f t="shared" si="3"/>
        <v>Ejec. Ventas Sur</v>
      </c>
      <c r="N6" s="45">
        <f t="shared" si="4"/>
        <v>1.9247905899126716</v>
      </c>
      <c r="O6" s="49">
        <f t="shared" si="5"/>
        <v>10800</v>
      </c>
      <c r="P6" s="49">
        <f t="shared" si="6"/>
        <v>5611</v>
      </c>
    </row>
    <row r="7" spans="1:16" x14ac:dyDescent="0.25">
      <c r="A7" s="31" t="s">
        <v>284</v>
      </c>
      <c r="B7" s="31" t="s">
        <v>285</v>
      </c>
      <c r="C7" s="27">
        <v>38269</v>
      </c>
      <c r="D7" s="27">
        <v>39934</v>
      </c>
      <c r="E7" s="78">
        <v>22361</v>
      </c>
      <c r="F7" s="45">
        <f t="shared" si="0"/>
        <v>1.7858771969053262</v>
      </c>
      <c r="G7" s="79" t="str">
        <f t="shared" si="1"/>
        <v>Verde</v>
      </c>
      <c r="H7" s="27">
        <v>7750</v>
      </c>
      <c r="I7" s="27">
        <v>0</v>
      </c>
      <c r="J7" s="80">
        <f t="shared" si="2"/>
        <v>1.7859171309983262</v>
      </c>
      <c r="L7" s="32">
        <v>3</v>
      </c>
      <c r="M7" s="30" t="str">
        <f t="shared" si="3"/>
        <v>Yolanda Candela</v>
      </c>
      <c r="N7" s="45">
        <f t="shared" si="4"/>
        <v>1.7858771969053262</v>
      </c>
      <c r="O7" s="49">
        <f t="shared" si="5"/>
        <v>39934</v>
      </c>
      <c r="P7" s="49">
        <f t="shared" si="6"/>
        <v>22361</v>
      </c>
    </row>
    <row r="8" spans="1:16" x14ac:dyDescent="0.25">
      <c r="A8" s="31" t="s">
        <v>303</v>
      </c>
      <c r="B8" s="31" t="s">
        <v>304</v>
      </c>
      <c r="C8" s="27">
        <v>25763</v>
      </c>
      <c r="D8" s="27">
        <v>20362</v>
      </c>
      <c r="E8" s="78">
        <v>12000</v>
      </c>
      <c r="F8" s="45">
        <f t="shared" si="0"/>
        <v>1.6968333333333334</v>
      </c>
      <c r="G8" s="79" t="str">
        <f t="shared" si="1"/>
        <v>Verde</v>
      </c>
      <c r="H8" s="27">
        <v>8016</v>
      </c>
      <c r="I8" s="27">
        <v>0</v>
      </c>
      <c r="J8" s="80">
        <f t="shared" si="2"/>
        <v>1.6968536954253335</v>
      </c>
      <c r="L8" s="32">
        <v>4</v>
      </c>
      <c r="M8" s="30" t="str">
        <f t="shared" si="3"/>
        <v>Mónica A. García</v>
      </c>
      <c r="N8" s="45">
        <f t="shared" si="4"/>
        <v>1.6968333333333334</v>
      </c>
      <c r="O8" s="49">
        <f t="shared" si="5"/>
        <v>20362</v>
      </c>
      <c r="P8" s="49">
        <f t="shared" si="6"/>
        <v>12000</v>
      </c>
    </row>
    <row r="9" spans="1:16" x14ac:dyDescent="0.25">
      <c r="A9" s="31" t="s">
        <v>305</v>
      </c>
      <c r="B9" s="31" t="s">
        <v>306</v>
      </c>
      <c r="C9" s="27">
        <v>76135</v>
      </c>
      <c r="D9" s="27">
        <v>80285</v>
      </c>
      <c r="E9" s="78">
        <v>70977</v>
      </c>
      <c r="F9" s="45">
        <f t="shared" si="0"/>
        <v>1.1311410738689998</v>
      </c>
      <c r="G9" s="79" t="str">
        <f t="shared" si="1"/>
        <v>Verde</v>
      </c>
      <c r="H9" s="27">
        <v>14515</v>
      </c>
      <c r="I9" s="27">
        <v>1979</v>
      </c>
      <c r="J9" s="80">
        <f t="shared" si="2"/>
        <v>1.1312213589599998</v>
      </c>
      <c r="L9" s="32">
        <v>5</v>
      </c>
      <c r="M9" s="30" t="str">
        <f t="shared" si="3"/>
        <v>Eidy J. Pérez</v>
      </c>
      <c r="N9" s="45">
        <f t="shared" si="4"/>
        <v>1.1311410738689998</v>
      </c>
      <c r="O9" s="49">
        <f t="shared" si="5"/>
        <v>80285</v>
      </c>
      <c r="P9" s="49">
        <f t="shared" si="6"/>
        <v>70977</v>
      </c>
    </row>
    <row r="10" spans="1:16" x14ac:dyDescent="0.25">
      <c r="A10" s="31" t="s">
        <v>307</v>
      </c>
      <c r="B10" s="31" t="s">
        <v>308</v>
      </c>
      <c r="C10" s="27">
        <v>21078</v>
      </c>
      <c r="D10" s="27">
        <v>14678</v>
      </c>
      <c r="E10" s="78">
        <v>21500</v>
      </c>
      <c r="F10" s="45">
        <f t="shared" si="0"/>
        <v>0.68269767441860463</v>
      </c>
      <c r="G10" s="79" t="str">
        <f t="shared" si="1"/>
        <v>Rojo</v>
      </c>
      <c r="H10" s="27">
        <v>6400</v>
      </c>
      <c r="I10" s="27">
        <v>0</v>
      </c>
      <c r="J10" s="80">
        <f t="shared" si="2"/>
        <v>0.68271235250860463</v>
      </c>
      <c r="L10" s="32">
        <v>6</v>
      </c>
      <c r="M10" s="30" t="str">
        <f t="shared" si="3"/>
        <v>Edwar A. Salazar</v>
      </c>
      <c r="N10" s="45">
        <f t="shared" si="4"/>
        <v>0.68269767441860463</v>
      </c>
      <c r="O10" s="49">
        <f t="shared" si="5"/>
        <v>14678</v>
      </c>
      <c r="P10" s="49">
        <f t="shared" si="6"/>
        <v>21500</v>
      </c>
    </row>
    <row r="11" spans="1:16" x14ac:dyDescent="0.25">
      <c r="A11" s="31" t="s">
        <v>309</v>
      </c>
      <c r="B11" s="31" t="s">
        <v>310</v>
      </c>
      <c r="C11" s="27">
        <v>14822</v>
      </c>
      <c r="D11" s="27">
        <v>6805</v>
      </c>
      <c r="E11" s="78">
        <v>11596</v>
      </c>
      <c r="F11" s="45">
        <f t="shared" si="0"/>
        <v>0.58684028975508795</v>
      </c>
      <c r="G11" s="79" t="str">
        <f t="shared" si="1"/>
        <v>Rojo</v>
      </c>
      <c r="H11" s="27">
        <v>8016</v>
      </c>
      <c r="I11" s="27">
        <v>0</v>
      </c>
      <c r="J11" s="80">
        <f t="shared" si="2"/>
        <v>0.58684709484408804</v>
      </c>
      <c r="L11" s="32">
        <v>7</v>
      </c>
      <c r="M11" s="30" t="str">
        <f t="shared" si="3"/>
        <v>Henry A. Acosta</v>
      </c>
      <c r="N11" s="45">
        <f t="shared" si="4"/>
        <v>0.58684028975508795</v>
      </c>
      <c r="O11" s="49">
        <f t="shared" si="5"/>
        <v>6805</v>
      </c>
      <c r="P11" s="49">
        <f t="shared" si="6"/>
        <v>11596</v>
      </c>
    </row>
    <row r="12" spans="1:16" x14ac:dyDescent="0.25">
      <c r="A12" s="31" t="s">
        <v>311</v>
      </c>
      <c r="B12" s="31" t="s">
        <v>312</v>
      </c>
      <c r="C12" s="27">
        <v>15745</v>
      </c>
      <c r="D12" s="27">
        <v>17303</v>
      </c>
      <c r="E12" s="78">
        <v>38653</v>
      </c>
      <c r="F12" s="45">
        <f t="shared" si="0"/>
        <v>0.44764960028975759</v>
      </c>
      <c r="G12" s="79" t="str">
        <f t="shared" si="1"/>
        <v>Rojo</v>
      </c>
      <c r="H12" s="27">
        <v>0</v>
      </c>
      <c r="I12" s="27">
        <v>0</v>
      </c>
      <c r="J12" s="80">
        <f t="shared" si="2"/>
        <v>0.44766690337775761</v>
      </c>
      <c r="L12" s="32">
        <v>8</v>
      </c>
      <c r="M12" s="30" t="str">
        <f t="shared" si="3"/>
        <v>Erwin A. Ríos</v>
      </c>
      <c r="N12" s="45">
        <f t="shared" si="4"/>
        <v>0.46140048292514663</v>
      </c>
      <c r="O12" s="49">
        <f t="shared" si="5"/>
        <v>6688</v>
      </c>
      <c r="P12" s="49">
        <f t="shared" si="6"/>
        <v>14495</v>
      </c>
    </row>
    <row r="13" spans="1:16" x14ac:dyDescent="0.25">
      <c r="A13" s="31" t="s">
        <v>313</v>
      </c>
      <c r="B13" s="31" t="s">
        <v>314</v>
      </c>
      <c r="C13" s="27">
        <v>13157</v>
      </c>
      <c r="D13" s="27">
        <v>19032</v>
      </c>
      <c r="E13" s="78">
        <v>45720</v>
      </c>
      <c r="F13" s="45">
        <f t="shared" si="0"/>
        <v>0.4162729658792651</v>
      </c>
      <c r="G13" s="79" t="str">
        <f t="shared" si="1"/>
        <v>Rojo</v>
      </c>
      <c r="H13" s="27">
        <v>0</v>
      </c>
      <c r="I13" s="27">
        <v>0</v>
      </c>
      <c r="J13" s="80">
        <f t="shared" si="2"/>
        <v>0.41629199796626509</v>
      </c>
      <c r="L13" s="32">
        <v>9</v>
      </c>
      <c r="M13" s="30" t="str">
        <f t="shared" si="3"/>
        <v>Ronald Valenzuela</v>
      </c>
      <c r="N13" s="45">
        <f t="shared" si="4"/>
        <v>0.44764960028975759</v>
      </c>
      <c r="O13" s="49">
        <f t="shared" si="5"/>
        <v>17303</v>
      </c>
      <c r="P13" s="49">
        <f t="shared" si="6"/>
        <v>38653</v>
      </c>
    </row>
    <row r="14" spans="1:16" x14ac:dyDescent="0.25">
      <c r="A14" s="31" t="s">
        <v>315</v>
      </c>
      <c r="B14" s="31" t="s">
        <v>316</v>
      </c>
      <c r="C14" s="27">
        <v>19126</v>
      </c>
      <c r="D14" s="27">
        <v>6688</v>
      </c>
      <c r="E14" s="78">
        <v>14495</v>
      </c>
      <c r="F14" s="45">
        <f t="shared" si="0"/>
        <v>0.46140048292514663</v>
      </c>
      <c r="G14" s="79" t="str">
        <f t="shared" si="1"/>
        <v>Rojo</v>
      </c>
      <c r="H14" s="27">
        <v>17840</v>
      </c>
      <c r="I14" s="27">
        <v>0</v>
      </c>
      <c r="J14" s="80">
        <f t="shared" si="2"/>
        <v>0.46140717101114659</v>
      </c>
      <c r="L14" s="32">
        <v>10</v>
      </c>
      <c r="M14" s="30" t="str">
        <f t="shared" si="3"/>
        <v>Ronald E. Méndez</v>
      </c>
      <c r="N14" s="45">
        <f t="shared" si="4"/>
        <v>0.4162729658792651</v>
      </c>
      <c r="O14" s="49">
        <f t="shared" si="5"/>
        <v>19032</v>
      </c>
      <c r="P14" s="49">
        <f t="shared" si="6"/>
        <v>45720</v>
      </c>
    </row>
    <row r="15" spans="1:16" x14ac:dyDescent="0.25">
      <c r="A15" s="31"/>
      <c r="B15" s="31"/>
      <c r="C15" s="27"/>
      <c r="D15" s="27"/>
      <c r="E15" s="27"/>
      <c r="F15" s="45" t="str">
        <f t="shared" si="0"/>
        <v/>
      </c>
      <c r="G15" s="79" t="str">
        <f t="shared" si="1"/>
        <v/>
      </c>
      <c r="H15" s="27"/>
      <c r="I15" s="27"/>
      <c r="J15" s="80" t="str">
        <f t="shared" si="2"/>
        <v/>
      </c>
      <c r="L15" s="32">
        <v>11</v>
      </c>
      <c r="M15" s="30" t="str">
        <f t="shared" si="3"/>
        <v/>
      </c>
      <c r="N15" s="45" t="str">
        <f t="shared" si="4"/>
        <v/>
      </c>
      <c r="O15" s="49" t="str">
        <f t="shared" si="5"/>
        <v/>
      </c>
      <c r="P15" s="49" t="str">
        <f t="shared" si="6"/>
        <v/>
      </c>
    </row>
    <row r="16" spans="1:16" x14ac:dyDescent="0.25">
      <c r="A16" s="31"/>
      <c r="B16" s="31"/>
      <c r="C16" s="27"/>
      <c r="D16" s="27"/>
      <c r="E16" s="27"/>
      <c r="F16" s="45" t="str">
        <f t="shared" si="0"/>
        <v/>
      </c>
      <c r="G16" s="79" t="str">
        <f t="shared" si="1"/>
        <v/>
      </c>
      <c r="H16" s="27"/>
      <c r="I16" s="27"/>
      <c r="J16" s="80" t="str">
        <f t="shared" si="2"/>
        <v/>
      </c>
      <c r="L16" s="32">
        <v>12</v>
      </c>
      <c r="M16" s="30" t="str">
        <f t="shared" si="3"/>
        <v/>
      </c>
      <c r="N16" s="45" t="str">
        <f t="shared" si="4"/>
        <v/>
      </c>
      <c r="O16" s="49" t="str">
        <f t="shared" si="5"/>
        <v/>
      </c>
      <c r="P16" s="49" t="str">
        <f t="shared" si="6"/>
        <v/>
      </c>
    </row>
    <row r="17" spans="1:16" x14ac:dyDescent="0.25">
      <c r="A17" s="31"/>
      <c r="B17" s="31"/>
      <c r="C17" s="27"/>
      <c r="D17" s="27"/>
      <c r="E17" s="27"/>
      <c r="F17" s="45" t="str">
        <f t="shared" si="0"/>
        <v/>
      </c>
      <c r="G17" s="79" t="str">
        <f t="shared" si="1"/>
        <v/>
      </c>
      <c r="H17" s="27"/>
      <c r="I17" s="27"/>
      <c r="J17" s="80" t="str">
        <f t="shared" si="2"/>
        <v/>
      </c>
      <c r="L17" s="32">
        <v>13</v>
      </c>
      <c r="M17" s="30" t="str">
        <f t="shared" si="3"/>
        <v/>
      </c>
      <c r="N17" s="45" t="str">
        <f t="shared" si="4"/>
        <v/>
      </c>
      <c r="O17" s="49" t="str">
        <f t="shared" si="5"/>
        <v/>
      </c>
      <c r="P17" s="49" t="str">
        <f t="shared" si="6"/>
        <v/>
      </c>
    </row>
    <row r="18" spans="1:16" x14ac:dyDescent="0.25">
      <c r="A18" s="31"/>
      <c r="B18" s="31"/>
      <c r="C18" s="27"/>
      <c r="D18" s="27"/>
      <c r="E18" s="27"/>
      <c r="F18" s="45" t="str">
        <f t="shared" si="0"/>
        <v/>
      </c>
      <c r="G18" s="79" t="str">
        <f t="shared" si="1"/>
        <v/>
      </c>
      <c r="H18" s="27"/>
      <c r="I18" s="27"/>
      <c r="J18" s="80" t="str">
        <f t="shared" si="2"/>
        <v/>
      </c>
      <c r="L18" s="32">
        <v>14</v>
      </c>
      <c r="M18" s="30" t="str">
        <f t="shared" si="3"/>
        <v/>
      </c>
      <c r="N18" s="45" t="str">
        <f t="shared" si="4"/>
        <v/>
      </c>
      <c r="O18" s="49" t="str">
        <f t="shared" si="5"/>
        <v/>
      </c>
      <c r="P18" s="49" t="str">
        <f t="shared" si="6"/>
        <v/>
      </c>
    </row>
    <row r="19" spans="1:16" x14ac:dyDescent="0.25">
      <c r="A19" s="31"/>
      <c r="B19" s="31"/>
      <c r="C19" s="27"/>
      <c r="D19" s="27"/>
      <c r="E19" s="27"/>
      <c r="F19" s="45" t="str">
        <f t="shared" si="0"/>
        <v/>
      </c>
      <c r="G19" s="79" t="str">
        <f t="shared" si="1"/>
        <v/>
      </c>
      <c r="H19" s="27"/>
      <c r="I19" s="27"/>
      <c r="J19" s="80" t="str">
        <f t="shared" si="2"/>
        <v/>
      </c>
      <c r="L19" s="32">
        <v>15</v>
      </c>
      <c r="M19" s="30" t="str">
        <f t="shared" si="3"/>
        <v/>
      </c>
      <c r="N19" s="45" t="str">
        <f t="shared" si="4"/>
        <v/>
      </c>
      <c r="O19" s="49" t="str">
        <f t="shared" si="5"/>
        <v/>
      </c>
      <c r="P19" s="49" t="str">
        <f t="shared" si="6"/>
        <v/>
      </c>
    </row>
    <row r="20" spans="1:16" x14ac:dyDescent="0.25">
      <c r="A20" s="33" t="s">
        <v>294</v>
      </c>
      <c r="B20" s="33" t="str">
        <f>COUNTA(A5:A19)&amp;" RSM"</f>
        <v>10 RSM</v>
      </c>
      <c r="C20" s="34">
        <f>SUM(C5:C19)</f>
        <v>236351</v>
      </c>
      <c r="D20" s="34">
        <f>SUM(D5:D19)</f>
        <v>227016</v>
      </c>
      <c r="E20" s="34">
        <f>SUM(E5:E19)</f>
        <v>248524</v>
      </c>
      <c r="F20" s="48">
        <f>IF(E20=0,0,D20/E20)</f>
        <v>0.91345705042571346</v>
      </c>
      <c r="G20" s="33" t="str">
        <f>IF(F20&gt;=1,"Verde",IF(F20&gt;=0.7,"Ámbar","Rojo"))</f>
        <v>Ámbar</v>
      </c>
      <c r="H20" s="34">
        <f>SUM(H5:H19)</f>
        <v>62537</v>
      </c>
      <c r="I20" s="34">
        <f>SUM(I5:I19)</f>
        <v>1979</v>
      </c>
    </row>
    <row r="22" spans="1:16" x14ac:dyDescent="0.25">
      <c r="A22" s="26" t="s">
        <v>295</v>
      </c>
    </row>
    <row r="23" spans="1:16" x14ac:dyDescent="0.25">
      <c r="A23" s="30" t="s">
        <v>296</v>
      </c>
      <c r="B23" s="32">
        <f>COUNTIF(F5:F19,"&gt;=1")</f>
        <v>5</v>
      </c>
    </row>
    <row r="24" spans="1:16" x14ac:dyDescent="0.25">
      <c r="A24" s="30" t="s">
        <v>297</v>
      </c>
      <c r="B24" s="32">
        <f>COUNTIFS(F5:F19,"&lt;0.7",A5:A19,"&lt;&gt;")</f>
        <v>0</v>
      </c>
    </row>
    <row r="25" spans="1:16" x14ac:dyDescent="0.25">
      <c r="A25" s="30" t="s">
        <v>229</v>
      </c>
      <c r="B25" s="49">
        <f>D20-E20</f>
        <v>-21508</v>
      </c>
    </row>
    <row r="26" spans="1:16" x14ac:dyDescent="0.25">
      <c r="A26" s="30" t="s">
        <v>251</v>
      </c>
      <c r="B26" s="49">
        <f>H20+I20</f>
        <v>64516</v>
      </c>
    </row>
    <row r="27" spans="1:16" x14ac:dyDescent="0.25">
      <c r="A27" s="30" t="s">
        <v>237</v>
      </c>
      <c r="B27" s="29">
        <f>IFERROR(C20/D20,"")</f>
        <v>1.0411204496599358</v>
      </c>
    </row>
  </sheetData>
  <conditionalFormatting sqref="F5:F20">
    <cfRule type="cellIs" dxfId="34" priority="2" operator="greaterThanOrEqual">
      <formula>1</formula>
    </cfRule>
    <cfRule type="cellIs" dxfId="33" priority="3" operator="between">
      <formula>0.7</formula>
      <formula>0.9999</formula>
    </cfRule>
    <cfRule type="cellIs" dxfId="32" priority="4" operator="lessThan">
      <formula>0.7</formula>
    </cfRule>
  </conditionalFormatting>
  <conditionalFormatting sqref="N5:N19">
    <cfRule type="cellIs" dxfId="31" priority="5" operator="greaterThanOrEqual">
      <formula>1</formula>
    </cfRule>
    <cfRule type="cellIs" dxfId="30" priority="6" operator="between">
      <formula>0.7</formula>
      <formula>0.9999</formula>
    </cfRule>
    <cfRule type="cellIs" dxfId="29" priority="7" operator="lessThan">
      <formula>0.7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61530"/>
  </sheetPr>
  <dimension ref="A1:P27"/>
  <sheetViews>
    <sheetView showGridLines="0" zoomScaleNormal="100" workbookViewId="0">
      <selection activeCell="D19" sqref="D19"/>
    </sheetView>
  </sheetViews>
  <sheetFormatPr baseColWidth="10" defaultColWidth="8.7109375" defaultRowHeight="15" x14ac:dyDescent="0.25"/>
  <cols>
    <col min="1" max="1" width="38" customWidth="1"/>
    <col min="2" max="2" width="22" customWidth="1"/>
    <col min="3" max="4" width="13" customWidth="1"/>
    <col min="5" max="5" width="14" customWidth="1"/>
    <col min="6" max="6" width="11" customWidth="1"/>
    <col min="7" max="7" width="10" customWidth="1"/>
    <col min="8" max="8" width="13" customWidth="1"/>
    <col min="9" max="10" width="12" customWidth="1"/>
    <col min="11" max="11" width="2" customWidth="1"/>
    <col min="12" max="12" width="5" customWidth="1"/>
    <col min="13" max="13" width="26" customWidth="1"/>
    <col min="14" max="14" width="10" customWidth="1"/>
    <col min="15" max="16" width="12" customWidth="1"/>
  </cols>
  <sheetData>
    <row r="1" spans="1:16" ht="18" customHeight="1" x14ac:dyDescent="0.25">
      <c r="A1" s="2" t="s">
        <v>317</v>
      </c>
    </row>
    <row r="2" spans="1:16" x14ac:dyDescent="0.25">
      <c r="A2" s="24" t="s">
        <v>263</v>
      </c>
    </row>
    <row r="4" spans="1:16" ht="30" customHeight="1" x14ac:dyDescent="0.25">
      <c r="A4" s="25" t="s">
        <v>264</v>
      </c>
      <c r="B4" s="25" t="s">
        <v>265</v>
      </c>
      <c r="C4" s="25" t="s">
        <v>266</v>
      </c>
      <c r="D4" s="25" t="s">
        <v>267</v>
      </c>
      <c r="E4" s="25" t="s">
        <v>268</v>
      </c>
      <c r="F4" s="25" t="s">
        <v>269</v>
      </c>
      <c r="G4" s="25" t="s">
        <v>231</v>
      </c>
      <c r="H4" s="25" t="s">
        <v>270</v>
      </c>
      <c r="I4" s="25" t="s">
        <v>271</v>
      </c>
      <c r="J4" s="25" t="s">
        <v>272</v>
      </c>
      <c r="L4" s="77" t="s">
        <v>47</v>
      </c>
      <c r="M4" s="77" t="s">
        <v>273</v>
      </c>
      <c r="N4" s="77" t="s">
        <v>239</v>
      </c>
      <c r="O4" s="77" t="s">
        <v>274</v>
      </c>
      <c r="P4" s="77" t="s">
        <v>275</v>
      </c>
    </row>
    <row r="5" spans="1:16" x14ac:dyDescent="0.25">
      <c r="A5" s="31" t="s">
        <v>318</v>
      </c>
      <c r="B5" s="31" t="s">
        <v>319</v>
      </c>
      <c r="C5" s="27">
        <v>0</v>
      </c>
      <c r="D5" s="27">
        <v>7006</v>
      </c>
      <c r="E5" s="78">
        <v>59844</v>
      </c>
      <c r="F5" s="45">
        <f t="shared" ref="F5:F19" si="0">IF(A5="","",IF(E5=0,0,D5/E5))</f>
        <v>0.11707105140030746</v>
      </c>
      <c r="G5" s="79" t="str">
        <f t="shared" ref="G5:G19" si="1">IF(F5="","",IF(F5&gt;=1,"Verde",IF(F5&gt;=0.7,"Ámbar","Rojo")))</f>
        <v>Rojo</v>
      </c>
      <c r="H5" s="27">
        <v>0</v>
      </c>
      <c r="I5" s="27">
        <v>0</v>
      </c>
      <c r="J5" s="80">
        <f t="shared" ref="J5:J19" si="2">IF(A5="","",F5+D5/1000000000+(100-ROW())/1000000000000)</f>
        <v>0.11707805749530746</v>
      </c>
      <c r="L5" s="32">
        <v>1</v>
      </c>
      <c r="M5" s="30" t="str">
        <f t="shared" ref="M5:M19" si="3">IF(L5&gt;COUNT($J$5:$J$19),"",INDEX($B$5:$B$19,MATCH(LARGE($J$5:$J$19,L5),$J$5:$J$19,0)))</f>
        <v>Laura M. Torres</v>
      </c>
      <c r="N5" s="45">
        <f t="shared" ref="N5:N19" si="4">IF(M5="","",INDEX($F$5:$F$19,MATCH(LARGE($J$5:$J$19,L5),$J$5:$J$19,0)))</f>
        <v>1.3896955646391311</v>
      </c>
      <c r="O5" s="49">
        <f t="shared" ref="O5:O19" si="5">IF(M5="","",INDEX($D$5:$D$19,MATCH(LARGE($J$5:$J$19,L5),$J$5:$J$19,0)))</f>
        <v>91114</v>
      </c>
      <c r="P5" s="49">
        <f t="shared" ref="P5:P19" si="6">IF(M5="","",INDEX($E$5:$E$19,MATCH(LARGE($J$5:$J$19,L5),$J$5:$J$19,0)))</f>
        <v>65564</v>
      </c>
    </row>
    <row r="6" spans="1:16" x14ac:dyDescent="0.25">
      <c r="A6" s="31" t="s">
        <v>320</v>
      </c>
      <c r="B6" s="31" t="s">
        <v>321</v>
      </c>
      <c r="C6" s="27">
        <v>127061</v>
      </c>
      <c r="D6" s="27">
        <v>91114</v>
      </c>
      <c r="E6" s="78">
        <v>65564</v>
      </c>
      <c r="F6" s="45">
        <f t="shared" si="0"/>
        <v>1.3896955646391311</v>
      </c>
      <c r="G6" s="79" t="str">
        <f t="shared" si="1"/>
        <v>Verde</v>
      </c>
      <c r="H6" s="27">
        <v>40920</v>
      </c>
      <c r="I6" s="27">
        <v>0</v>
      </c>
      <c r="J6" s="80">
        <f t="shared" si="2"/>
        <v>1.389786678733131</v>
      </c>
      <c r="L6" s="32">
        <v>2</v>
      </c>
      <c r="M6" s="30" t="str">
        <f t="shared" si="3"/>
        <v>María Y. Calderón</v>
      </c>
      <c r="N6" s="45">
        <f t="shared" si="4"/>
        <v>1.3598332818771226</v>
      </c>
      <c r="O6" s="49">
        <f t="shared" si="5"/>
        <v>26427</v>
      </c>
      <c r="P6" s="49">
        <f t="shared" si="6"/>
        <v>19434</v>
      </c>
    </row>
    <row r="7" spans="1:16" x14ac:dyDescent="0.25">
      <c r="A7" s="31" t="s">
        <v>322</v>
      </c>
      <c r="B7" s="31" t="s">
        <v>323</v>
      </c>
      <c r="C7" s="27">
        <v>46249</v>
      </c>
      <c r="D7" s="27">
        <v>26427</v>
      </c>
      <c r="E7" s="78">
        <v>19434</v>
      </c>
      <c r="F7" s="45">
        <f t="shared" si="0"/>
        <v>1.3598332818771226</v>
      </c>
      <c r="G7" s="79" t="str">
        <f t="shared" si="1"/>
        <v>Verde</v>
      </c>
      <c r="H7" s="27">
        <v>21052</v>
      </c>
      <c r="I7" s="27">
        <v>247</v>
      </c>
      <c r="J7" s="80">
        <f t="shared" si="2"/>
        <v>1.3598597089701228</v>
      </c>
      <c r="L7" s="32">
        <v>3</v>
      </c>
      <c r="M7" s="30" t="str">
        <f t="shared" si="3"/>
        <v>Carlos A. Rodríguez</v>
      </c>
      <c r="N7" s="45">
        <f t="shared" si="4"/>
        <v>1.0145873941201304</v>
      </c>
      <c r="O7" s="49">
        <f t="shared" si="5"/>
        <v>112953</v>
      </c>
      <c r="P7" s="49">
        <f t="shared" si="6"/>
        <v>111329</v>
      </c>
    </row>
    <row r="8" spans="1:16" x14ac:dyDescent="0.25">
      <c r="A8" s="31" t="s">
        <v>324</v>
      </c>
      <c r="B8" s="31" t="s">
        <v>325</v>
      </c>
      <c r="C8" s="27">
        <v>22789</v>
      </c>
      <c r="D8" s="27">
        <v>23798</v>
      </c>
      <c r="E8" s="78">
        <v>23613</v>
      </c>
      <c r="F8" s="45">
        <f t="shared" si="0"/>
        <v>1.0078346673442595</v>
      </c>
      <c r="G8" s="79" t="str">
        <f t="shared" si="1"/>
        <v>Verde</v>
      </c>
      <c r="H8" s="27">
        <v>1061</v>
      </c>
      <c r="I8" s="27">
        <v>0</v>
      </c>
      <c r="J8" s="80">
        <f t="shared" si="2"/>
        <v>1.0078584654362595</v>
      </c>
      <c r="L8" s="32">
        <v>4</v>
      </c>
      <c r="M8" s="30" t="str">
        <f t="shared" si="3"/>
        <v>Erick Hinostroza</v>
      </c>
      <c r="N8" s="45">
        <f t="shared" si="4"/>
        <v>1.0078346673442595</v>
      </c>
      <c r="O8" s="49">
        <f t="shared" si="5"/>
        <v>23798</v>
      </c>
      <c r="P8" s="49">
        <f t="shared" si="6"/>
        <v>23613</v>
      </c>
    </row>
    <row r="9" spans="1:16" x14ac:dyDescent="0.25">
      <c r="A9" s="31" t="s">
        <v>326</v>
      </c>
      <c r="B9" s="31" t="s">
        <v>327</v>
      </c>
      <c r="C9" s="27">
        <v>119514</v>
      </c>
      <c r="D9" s="27">
        <v>112953</v>
      </c>
      <c r="E9" s="78">
        <v>111329</v>
      </c>
      <c r="F9" s="45">
        <f t="shared" si="0"/>
        <v>1.0145873941201304</v>
      </c>
      <c r="G9" s="79" t="str">
        <f t="shared" si="1"/>
        <v>Verde</v>
      </c>
      <c r="H9" s="27">
        <v>54879</v>
      </c>
      <c r="I9" s="27">
        <v>0</v>
      </c>
      <c r="J9" s="80">
        <f t="shared" si="2"/>
        <v>1.0147003472111304</v>
      </c>
      <c r="L9" s="32">
        <v>5</v>
      </c>
      <c r="M9" s="30" t="str">
        <f t="shared" si="3"/>
        <v>Mayra A. Navas</v>
      </c>
      <c r="N9" s="45">
        <f t="shared" si="4"/>
        <v>0.62350837316575858</v>
      </c>
      <c r="O9" s="49">
        <f t="shared" si="5"/>
        <v>37307</v>
      </c>
      <c r="P9" s="49">
        <f t="shared" si="6"/>
        <v>59834</v>
      </c>
    </row>
    <row r="10" spans="1:16" x14ac:dyDescent="0.25">
      <c r="A10" s="31" t="s">
        <v>328</v>
      </c>
      <c r="B10" s="31" t="s">
        <v>329</v>
      </c>
      <c r="C10" s="27">
        <v>6245</v>
      </c>
      <c r="D10" s="27">
        <v>7471</v>
      </c>
      <c r="E10" s="78">
        <v>46495</v>
      </c>
      <c r="F10" s="45">
        <f t="shared" si="0"/>
        <v>0.16068394451016238</v>
      </c>
      <c r="G10" s="79" t="str">
        <f t="shared" si="1"/>
        <v>Rojo</v>
      </c>
      <c r="H10" s="27">
        <v>0</v>
      </c>
      <c r="I10" s="27">
        <v>0</v>
      </c>
      <c r="J10" s="80">
        <f t="shared" si="2"/>
        <v>0.1606914156001624</v>
      </c>
      <c r="L10" s="32">
        <v>6</v>
      </c>
      <c r="M10" s="30" t="str">
        <f t="shared" si="3"/>
        <v xml:space="preserve">KAM  - Costa Rica </v>
      </c>
      <c r="N10" s="45">
        <f t="shared" si="4"/>
        <v>0.16068394451016238</v>
      </c>
      <c r="O10" s="49">
        <f t="shared" si="5"/>
        <v>7471</v>
      </c>
      <c r="P10" s="49">
        <f t="shared" si="6"/>
        <v>46495</v>
      </c>
    </row>
    <row r="11" spans="1:16" x14ac:dyDescent="0.25">
      <c r="A11" s="31" t="s">
        <v>330</v>
      </c>
      <c r="B11" s="31" t="s">
        <v>331</v>
      </c>
      <c r="C11" s="27">
        <f>45379</f>
        <v>45379</v>
      </c>
      <c r="D11" s="27">
        <f>37307</f>
        <v>37307</v>
      </c>
      <c r="E11" s="78">
        <f>59834</f>
        <v>59834</v>
      </c>
      <c r="F11" s="45">
        <f t="shared" si="0"/>
        <v>0.62350837316575858</v>
      </c>
      <c r="G11" s="79" t="str">
        <f t="shared" si="1"/>
        <v>Rojo</v>
      </c>
      <c r="H11" s="27">
        <v>18220</v>
      </c>
      <c r="I11" s="27">
        <v>333</v>
      </c>
      <c r="J11" s="80">
        <f t="shared" si="2"/>
        <v>0.62354568025475865</v>
      </c>
      <c r="L11" s="32">
        <v>7</v>
      </c>
      <c r="M11" s="30" t="str">
        <f t="shared" si="3"/>
        <v xml:space="preserve">KAM 2 - Ecuador </v>
      </c>
      <c r="N11" s="45">
        <f t="shared" si="4"/>
        <v>0.11707105140030746</v>
      </c>
      <c r="O11" s="49">
        <f t="shared" si="5"/>
        <v>7006</v>
      </c>
      <c r="P11" s="49">
        <f t="shared" si="6"/>
        <v>59844</v>
      </c>
    </row>
    <row r="12" spans="1:16" x14ac:dyDescent="0.25">
      <c r="A12" s="31" t="s">
        <v>332</v>
      </c>
      <c r="B12" s="31" t="s">
        <v>333</v>
      </c>
      <c r="C12" s="27">
        <v>0</v>
      </c>
      <c r="D12" s="27">
        <v>0</v>
      </c>
      <c r="E12" s="78">
        <v>2000</v>
      </c>
      <c r="F12" s="45">
        <f t="shared" si="0"/>
        <v>0</v>
      </c>
      <c r="G12" s="79" t="str">
        <f t="shared" si="1"/>
        <v>Rojo</v>
      </c>
      <c r="H12" s="27">
        <v>0</v>
      </c>
      <c r="I12" s="27">
        <v>0</v>
      </c>
      <c r="J12" s="80">
        <f t="shared" si="2"/>
        <v>8.8000000000000006E-11</v>
      </c>
      <c r="L12" s="32">
        <v>8</v>
      </c>
      <c r="M12" s="30" t="str">
        <f t="shared" si="3"/>
        <v>Angie P. Fernandini</v>
      </c>
      <c r="N12" s="45">
        <f t="shared" si="4"/>
        <v>0</v>
      </c>
      <c r="O12" s="49">
        <f t="shared" si="5"/>
        <v>0</v>
      </c>
      <c r="P12" s="49">
        <f t="shared" si="6"/>
        <v>2000</v>
      </c>
    </row>
    <row r="13" spans="1:16" x14ac:dyDescent="0.25">
      <c r="A13" s="31"/>
      <c r="B13" s="31"/>
      <c r="C13" s="27"/>
      <c r="D13" s="27"/>
      <c r="E13" s="27"/>
      <c r="F13" s="45" t="str">
        <f t="shared" si="0"/>
        <v/>
      </c>
      <c r="G13" s="79" t="str">
        <f t="shared" si="1"/>
        <v/>
      </c>
      <c r="H13" s="27"/>
      <c r="I13" s="27"/>
      <c r="J13" s="80" t="str">
        <f t="shared" si="2"/>
        <v/>
      </c>
      <c r="L13" s="32">
        <v>9</v>
      </c>
      <c r="M13" s="30" t="str">
        <f t="shared" si="3"/>
        <v/>
      </c>
      <c r="N13" s="45" t="str">
        <f t="shared" si="4"/>
        <v/>
      </c>
      <c r="O13" s="49" t="str">
        <f t="shared" si="5"/>
        <v/>
      </c>
      <c r="P13" s="49" t="str">
        <f t="shared" si="6"/>
        <v/>
      </c>
    </row>
    <row r="14" spans="1:16" x14ac:dyDescent="0.25">
      <c r="A14" s="31"/>
      <c r="B14" s="31"/>
      <c r="C14" s="27"/>
      <c r="D14" s="27"/>
      <c r="E14" s="27"/>
      <c r="F14" s="45" t="str">
        <f t="shared" si="0"/>
        <v/>
      </c>
      <c r="G14" s="79" t="str">
        <f t="shared" si="1"/>
        <v/>
      </c>
      <c r="H14" s="27"/>
      <c r="I14" s="27"/>
      <c r="J14" s="80" t="str">
        <f t="shared" si="2"/>
        <v/>
      </c>
      <c r="L14" s="32">
        <v>10</v>
      </c>
      <c r="M14" s="30" t="str">
        <f t="shared" si="3"/>
        <v/>
      </c>
      <c r="N14" s="45" t="str">
        <f t="shared" si="4"/>
        <v/>
      </c>
      <c r="O14" s="49" t="str">
        <f t="shared" si="5"/>
        <v/>
      </c>
      <c r="P14" s="49" t="str">
        <f t="shared" si="6"/>
        <v/>
      </c>
    </row>
    <row r="15" spans="1:16" x14ac:dyDescent="0.25">
      <c r="A15" s="31"/>
      <c r="B15" s="31"/>
      <c r="C15" s="27"/>
      <c r="D15" s="27"/>
      <c r="E15" s="27"/>
      <c r="F15" s="45" t="str">
        <f t="shared" si="0"/>
        <v/>
      </c>
      <c r="G15" s="79" t="str">
        <f t="shared" si="1"/>
        <v/>
      </c>
      <c r="H15" s="27"/>
      <c r="I15" s="27"/>
      <c r="J15" s="80" t="str">
        <f t="shared" si="2"/>
        <v/>
      </c>
      <c r="L15" s="32">
        <v>11</v>
      </c>
      <c r="M15" s="30" t="str">
        <f t="shared" si="3"/>
        <v/>
      </c>
      <c r="N15" s="45" t="str">
        <f t="shared" si="4"/>
        <v/>
      </c>
      <c r="O15" s="49" t="str">
        <f t="shared" si="5"/>
        <v/>
      </c>
      <c r="P15" s="49" t="str">
        <f t="shared" si="6"/>
        <v/>
      </c>
    </row>
    <row r="16" spans="1:16" x14ac:dyDescent="0.25">
      <c r="A16" s="31"/>
      <c r="B16" s="31"/>
      <c r="C16" s="27"/>
      <c r="D16" s="27"/>
      <c r="E16" s="27"/>
      <c r="F16" s="45" t="str">
        <f t="shared" si="0"/>
        <v/>
      </c>
      <c r="G16" s="79" t="str">
        <f t="shared" si="1"/>
        <v/>
      </c>
      <c r="H16" s="27"/>
      <c r="I16" s="27"/>
      <c r="J16" s="80" t="str">
        <f t="shared" si="2"/>
        <v/>
      </c>
      <c r="L16" s="32">
        <v>12</v>
      </c>
      <c r="M16" s="30" t="str">
        <f t="shared" si="3"/>
        <v/>
      </c>
      <c r="N16" s="45" t="str">
        <f t="shared" si="4"/>
        <v/>
      </c>
      <c r="O16" s="49" t="str">
        <f t="shared" si="5"/>
        <v/>
      </c>
      <c r="P16" s="49" t="str">
        <f t="shared" si="6"/>
        <v/>
      </c>
    </row>
    <row r="17" spans="1:16" x14ac:dyDescent="0.25">
      <c r="A17" s="31"/>
      <c r="B17" s="31"/>
      <c r="C17" s="27"/>
      <c r="D17" s="27"/>
      <c r="E17" s="27"/>
      <c r="F17" s="45" t="str">
        <f t="shared" si="0"/>
        <v/>
      </c>
      <c r="G17" s="79" t="str">
        <f t="shared" si="1"/>
        <v/>
      </c>
      <c r="H17" s="27"/>
      <c r="I17" s="27"/>
      <c r="J17" s="80" t="str">
        <f t="shared" si="2"/>
        <v/>
      </c>
      <c r="L17" s="32">
        <v>13</v>
      </c>
      <c r="M17" s="30" t="str">
        <f t="shared" si="3"/>
        <v/>
      </c>
      <c r="N17" s="45" t="str">
        <f t="shared" si="4"/>
        <v/>
      </c>
      <c r="O17" s="49" t="str">
        <f t="shared" si="5"/>
        <v/>
      </c>
      <c r="P17" s="49" t="str">
        <f t="shared" si="6"/>
        <v/>
      </c>
    </row>
    <row r="18" spans="1:16" x14ac:dyDescent="0.25">
      <c r="A18" s="31"/>
      <c r="B18" s="31"/>
      <c r="C18" s="27"/>
      <c r="D18" s="27"/>
      <c r="E18" s="27"/>
      <c r="F18" s="45" t="str">
        <f t="shared" si="0"/>
        <v/>
      </c>
      <c r="G18" s="79" t="str">
        <f t="shared" si="1"/>
        <v/>
      </c>
      <c r="H18" s="27"/>
      <c r="I18" s="27"/>
      <c r="J18" s="80" t="str">
        <f t="shared" si="2"/>
        <v/>
      </c>
      <c r="L18" s="32">
        <v>14</v>
      </c>
      <c r="M18" s="30" t="str">
        <f t="shared" si="3"/>
        <v/>
      </c>
      <c r="N18" s="45" t="str">
        <f t="shared" si="4"/>
        <v/>
      </c>
      <c r="O18" s="49" t="str">
        <f t="shared" si="5"/>
        <v/>
      </c>
      <c r="P18" s="49" t="str">
        <f t="shared" si="6"/>
        <v/>
      </c>
    </row>
    <row r="19" spans="1:16" x14ac:dyDescent="0.25">
      <c r="A19" s="31"/>
      <c r="B19" s="31"/>
      <c r="C19" s="27"/>
      <c r="D19" s="27"/>
      <c r="E19" s="27"/>
      <c r="F19" s="45" t="str">
        <f t="shared" si="0"/>
        <v/>
      </c>
      <c r="G19" s="79" t="str">
        <f t="shared" si="1"/>
        <v/>
      </c>
      <c r="H19" s="27"/>
      <c r="I19" s="27"/>
      <c r="J19" s="80" t="str">
        <f t="shared" si="2"/>
        <v/>
      </c>
      <c r="L19" s="32">
        <v>15</v>
      </c>
      <c r="M19" s="30" t="str">
        <f t="shared" si="3"/>
        <v/>
      </c>
      <c r="N19" s="45" t="str">
        <f t="shared" si="4"/>
        <v/>
      </c>
      <c r="O19" s="49" t="str">
        <f t="shared" si="5"/>
        <v/>
      </c>
      <c r="P19" s="49" t="str">
        <f t="shared" si="6"/>
        <v/>
      </c>
    </row>
    <row r="20" spans="1:16" x14ac:dyDescent="0.25">
      <c r="A20" s="33" t="s">
        <v>294</v>
      </c>
      <c r="B20" s="33" t="str">
        <f>COUNTA(A5:A19)&amp;" RSM"</f>
        <v>8 RSM</v>
      </c>
      <c r="C20" s="34">
        <f>SUM(C5:C19)</f>
        <v>367237</v>
      </c>
      <c r="D20" s="34">
        <f>SUM(D5:D19)</f>
        <v>306076</v>
      </c>
      <c r="E20" s="34">
        <f>SUM(E5:E19)</f>
        <v>388113</v>
      </c>
      <c r="F20" s="48">
        <f>IF(E20=0,0,D20/E20)</f>
        <v>0.78862599294535352</v>
      </c>
      <c r="G20" s="33" t="str">
        <f>IF(F20&gt;=1,"Verde",IF(F20&gt;=0.7,"Ámbar","Rojo"))</f>
        <v>Ámbar</v>
      </c>
      <c r="H20" s="34">
        <f>SUM(H5:H19)</f>
        <v>136132</v>
      </c>
      <c r="I20" s="34">
        <f>SUM(I5:I19)</f>
        <v>580</v>
      </c>
    </row>
    <row r="22" spans="1:16" x14ac:dyDescent="0.25">
      <c r="A22" s="26" t="s">
        <v>295</v>
      </c>
    </row>
    <row r="23" spans="1:16" x14ac:dyDescent="0.25">
      <c r="A23" s="30" t="s">
        <v>296</v>
      </c>
      <c r="B23" s="32">
        <f>COUNTIF(F5:F19,"&gt;=1")</f>
        <v>4</v>
      </c>
    </row>
    <row r="24" spans="1:16" x14ac:dyDescent="0.25">
      <c r="A24" s="30" t="s">
        <v>297</v>
      </c>
      <c r="B24" s="32">
        <f>COUNTIFS(F5:F19,"&lt;0.7",A5:A19,"&lt;&gt;")</f>
        <v>0</v>
      </c>
    </row>
    <row r="25" spans="1:16" x14ac:dyDescent="0.25">
      <c r="A25" s="30" t="s">
        <v>229</v>
      </c>
      <c r="B25" s="49">
        <f>D20-E20</f>
        <v>-82037</v>
      </c>
    </row>
    <row r="26" spans="1:16" x14ac:dyDescent="0.25">
      <c r="A26" s="30" t="s">
        <v>251</v>
      </c>
      <c r="B26" s="49">
        <f>H20+I20</f>
        <v>136712</v>
      </c>
    </row>
    <row r="27" spans="1:16" x14ac:dyDescent="0.25">
      <c r="A27" s="30" t="s">
        <v>237</v>
      </c>
      <c r="B27" s="29">
        <f>IFERROR(C20/D20,"")</f>
        <v>1.1998229197976973</v>
      </c>
    </row>
  </sheetData>
  <conditionalFormatting sqref="F5:F20">
    <cfRule type="cellIs" dxfId="28" priority="2" operator="greaterThanOrEqual">
      <formula>1</formula>
    </cfRule>
    <cfRule type="cellIs" dxfId="27" priority="3" operator="between">
      <formula>0.7</formula>
      <formula>0.9999</formula>
    </cfRule>
    <cfRule type="cellIs" dxfId="26" priority="4" operator="lessThan">
      <formula>0.7</formula>
    </cfRule>
  </conditionalFormatting>
  <conditionalFormatting sqref="N5:N19">
    <cfRule type="cellIs" dxfId="25" priority="5" operator="greaterThanOrEqual">
      <formula>1</formula>
    </cfRule>
    <cfRule type="cellIs" dxfId="24" priority="6" operator="between">
      <formula>0.7</formula>
      <formula>0.9999</formula>
    </cfRule>
    <cfRule type="cellIs" dxfId="23" priority="7" operator="lessThan">
      <formula>0.7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61530"/>
  </sheetPr>
  <dimension ref="A1:P27"/>
  <sheetViews>
    <sheetView showGridLines="0" zoomScaleNormal="100" workbookViewId="0">
      <selection activeCell="F9" sqref="E9:F13"/>
    </sheetView>
  </sheetViews>
  <sheetFormatPr baseColWidth="10" defaultColWidth="8.7109375" defaultRowHeight="15" x14ac:dyDescent="0.25"/>
  <cols>
    <col min="1" max="1" width="38" customWidth="1"/>
    <col min="2" max="2" width="22" customWidth="1"/>
    <col min="3" max="4" width="13" customWidth="1"/>
    <col min="5" max="5" width="14" customWidth="1"/>
    <col min="6" max="6" width="11" customWidth="1"/>
    <col min="7" max="7" width="10" customWidth="1"/>
    <col min="8" max="8" width="13" customWidth="1"/>
    <col min="9" max="10" width="12" customWidth="1"/>
    <col min="11" max="11" width="2" customWidth="1"/>
    <col min="12" max="12" width="5" customWidth="1"/>
    <col min="13" max="13" width="26" customWidth="1"/>
    <col min="14" max="14" width="10" customWidth="1"/>
    <col min="15" max="16" width="12" customWidth="1"/>
  </cols>
  <sheetData>
    <row r="1" spans="1:16" ht="18" customHeight="1" x14ac:dyDescent="0.25">
      <c r="A1" s="2" t="s">
        <v>334</v>
      </c>
    </row>
    <row r="2" spans="1:16" x14ac:dyDescent="0.25">
      <c r="A2" s="24" t="s">
        <v>263</v>
      </c>
    </row>
    <row r="4" spans="1:16" ht="30" customHeight="1" x14ac:dyDescent="0.25">
      <c r="A4" s="25" t="s">
        <v>264</v>
      </c>
      <c r="B4" s="25" t="s">
        <v>265</v>
      </c>
      <c r="C4" s="25" t="s">
        <v>266</v>
      </c>
      <c r="D4" s="25" t="s">
        <v>267</v>
      </c>
      <c r="E4" s="25" t="s">
        <v>268</v>
      </c>
      <c r="F4" s="25" t="s">
        <v>269</v>
      </c>
      <c r="G4" s="25" t="s">
        <v>231</v>
      </c>
      <c r="H4" s="25" t="s">
        <v>270</v>
      </c>
      <c r="I4" s="25" t="s">
        <v>271</v>
      </c>
      <c r="J4" s="25" t="s">
        <v>272</v>
      </c>
      <c r="L4" s="77" t="s">
        <v>47</v>
      </c>
      <c r="M4" s="77" t="s">
        <v>273</v>
      </c>
      <c r="N4" s="77" t="s">
        <v>239</v>
      </c>
      <c r="O4" s="77" t="s">
        <v>274</v>
      </c>
      <c r="P4" s="77" t="s">
        <v>275</v>
      </c>
    </row>
    <row r="5" spans="1:16" x14ac:dyDescent="0.25">
      <c r="A5" s="31" t="s">
        <v>335</v>
      </c>
      <c r="B5" s="31" t="s">
        <v>336</v>
      </c>
      <c r="C5" s="27">
        <v>20966</v>
      </c>
      <c r="D5" s="27">
        <v>5303</v>
      </c>
      <c r="E5" s="27">
        <v>4500</v>
      </c>
      <c r="F5" s="45">
        <f t="shared" ref="F5:F19" si="0">IF(A5="","",IF(E5=0,0,D5/E5))</f>
        <v>1.1784444444444444</v>
      </c>
      <c r="G5" s="79" t="str">
        <f t="shared" ref="G5:G19" si="1">IF(F5="","",IF(F5&gt;=1,"Verde",IF(F5&gt;=0.7,"Ámbar","Rojo")))</f>
        <v>Verde</v>
      </c>
      <c r="H5" s="27">
        <v>15042</v>
      </c>
      <c r="I5" s="27">
        <v>468</v>
      </c>
      <c r="J5" s="80">
        <f t="shared" ref="J5:J19" si="2">IF(A5="","",F5+D5/1000000000+(100-ROW())/1000000000000)</f>
        <v>1.1784497475394444</v>
      </c>
      <c r="L5" s="32">
        <v>1</v>
      </c>
      <c r="M5" s="30" t="str">
        <f t="shared" ref="M5:M19" si="3">IF(L5&gt;COUNT($J$5:$J$19),"",INDEX($B$5:$B$19,MATCH(LARGE($J$5:$J$19,L5),$J$5:$J$19,0)))</f>
        <v>Sandra M. Uribe</v>
      </c>
      <c r="N5" s="45">
        <f t="shared" ref="N5:N19" si="4">IF(M5="","",INDEX($F$5:$F$19,MATCH(LARGE($J$5:$J$19,L5),$J$5:$J$19,0)))</f>
        <v>1.5551999999999999</v>
      </c>
      <c r="O5" s="49">
        <f t="shared" ref="O5:O19" si="5">IF(M5="","",INDEX($D$5:$D$19,MATCH(LARGE($J$5:$J$19,L5),$J$5:$J$19,0)))</f>
        <v>3888</v>
      </c>
      <c r="P5" s="49">
        <f t="shared" ref="P5:P19" si="6">IF(M5="","",INDEX($E$5:$E$19,MATCH(LARGE($J$5:$J$19,L5),$J$5:$J$19,0)))</f>
        <v>2500</v>
      </c>
    </row>
    <row r="6" spans="1:16" x14ac:dyDescent="0.25">
      <c r="A6" s="31" t="s">
        <v>337</v>
      </c>
      <c r="B6" s="31" t="s">
        <v>338</v>
      </c>
      <c r="C6" s="27">
        <v>0</v>
      </c>
      <c r="D6" s="27">
        <v>0</v>
      </c>
      <c r="E6" s="27">
        <v>3000</v>
      </c>
      <c r="F6" s="45">
        <f t="shared" si="0"/>
        <v>0</v>
      </c>
      <c r="G6" s="79" t="str">
        <f t="shared" si="1"/>
        <v>Rojo</v>
      </c>
      <c r="H6" s="27">
        <v>0</v>
      </c>
      <c r="I6" s="27">
        <v>0</v>
      </c>
      <c r="J6" s="80">
        <f t="shared" si="2"/>
        <v>9.3999999999999999E-11</v>
      </c>
      <c r="L6" s="32">
        <v>2</v>
      </c>
      <c r="M6" s="30" t="str">
        <f t="shared" si="3"/>
        <v>Laura M. Rodríguez</v>
      </c>
      <c r="N6" s="45">
        <f t="shared" si="4"/>
        <v>1.1784444444444444</v>
      </c>
      <c r="O6" s="49">
        <f t="shared" si="5"/>
        <v>5303</v>
      </c>
      <c r="P6" s="49">
        <f t="shared" si="6"/>
        <v>4500</v>
      </c>
    </row>
    <row r="7" spans="1:16" x14ac:dyDescent="0.25">
      <c r="A7" s="31" t="s">
        <v>339</v>
      </c>
      <c r="B7" s="31" t="s">
        <v>340</v>
      </c>
      <c r="C7" s="27">
        <v>15459</v>
      </c>
      <c r="D7" s="27">
        <v>3888</v>
      </c>
      <c r="E7" s="78">
        <v>2500</v>
      </c>
      <c r="F7" s="45">
        <f t="shared" si="0"/>
        <v>1.5551999999999999</v>
      </c>
      <c r="G7" s="79" t="str">
        <f t="shared" si="1"/>
        <v>Verde</v>
      </c>
      <c r="H7" s="27">
        <v>12191</v>
      </c>
      <c r="I7" s="27">
        <v>2734</v>
      </c>
      <c r="J7" s="80">
        <f t="shared" si="2"/>
        <v>1.5552038880929999</v>
      </c>
      <c r="L7" s="32">
        <v>3</v>
      </c>
      <c r="M7" s="30" t="str">
        <f t="shared" si="3"/>
        <v>Juan C. Menéndez</v>
      </c>
      <c r="N7" s="45">
        <f t="shared" si="4"/>
        <v>0</v>
      </c>
      <c r="O7" s="49">
        <f t="shared" si="5"/>
        <v>0</v>
      </c>
      <c r="P7" s="49">
        <f t="shared" si="6"/>
        <v>3000</v>
      </c>
    </row>
    <row r="8" spans="1:16" x14ac:dyDescent="0.25">
      <c r="A8" s="31"/>
      <c r="B8" s="31"/>
      <c r="C8" s="27"/>
      <c r="D8" s="27"/>
      <c r="E8" s="27"/>
      <c r="F8" s="45" t="str">
        <f t="shared" si="0"/>
        <v/>
      </c>
      <c r="G8" s="79" t="str">
        <f t="shared" si="1"/>
        <v/>
      </c>
      <c r="H8" s="27"/>
      <c r="I8" s="27"/>
      <c r="J8" s="80" t="str">
        <f t="shared" si="2"/>
        <v/>
      </c>
      <c r="L8" s="32">
        <v>4</v>
      </c>
      <c r="M8" s="30" t="str">
        <f t="shared" si="3"/>
        <v/>
      </c>
      <c r="N8" s="45" t="str">
        <f t="shared" si="4"/>
        <v/>
      </c>
      <c r="O8" s="49" t="str">
        <f t="shared" si="5"/>
        <v/>
      </c>
      <c r="P8" s="49" t="str">
        <f t="shared" si="6"/>
        <v/>
      </c>
    </row>
    <row r="9" spans="1:16" x14ac:dyDescent="0.25">
      <c r="A9" s="31"/>
      <c r="B9" s="31"/>
      <c r="C9" s="27"/>
      <c r="D9" s="27"/>
      <c r="E9" s="27"/>
      <c r="F9" s="45" t="str">
        <f t="shared" si="0"/>
        <v/>
      </c>
      <c r="G9" s="79" t="str">
        <f t="shared" si="1"/>
        <v/>
      </c>
      <c r="H9" s="27"/>
      <c r="I9" s="27"/>
      <c r="J9" s="80" t="str">
        <f t="shared" si="2"/>
        <v/>
      </c>
      <c r="L9" s="32">
        <v>5</v>
      </c>
      <c r="M9" s="30" t="str">
        <f t="shared" si="3"/>
        <v/>
      </c>
      <c r="N9" s="45" t="str">
        <f t="shared" si="4"/>
        <v/>
      </c>
      <c r="O9" s="49" t="str">
        <f t="shared" si="5"/>
        <v/>
      </c>
      <c r="P9" s="49" t="str">
        <f t="shared" si="6"/>
        <v/>
      </c>
    </row>
    <row r="10" spans="1:16" x14ac:dyDescent="0.25">
      <c r="A10" s="31"/>
      <c r="B10" s="31"/>
      <c r="C10" s="27"/>
      <c r="D10" s="27"/>
      <c r="E10" s="27"/>
      <c r="F10" s="45" t="str">
        <f t="shared" si="0"/>
        <v/>
      </c>
      <c r="G10" s="79" t="str">
        <f t="shared" si="1"/>
        <v/>
      </c>
      <c r="H10" s="27"/>
      <c r="I10" s="27"/>
      <c r="J10" s="80" t="str">
        <f t="shared" si="2"/>
        <v/>
      </c>
      <c r="L10" s="32">
        <v>6</v>
      </c>
      <c r="M10" s="30" t="str">
        <f t="shared" si="3"/>
        <v/>
      </c>
      <c r="N10" s="45" t="str">
        <f t="shared" si="4"/>
        <v/>
      </c>
      <c r="O10" s="49" t="str">
        <f t="shared" si="5"/>
        <v/>
      </c>
      <c r="P10" s="49" t="str">
        <f t="shared" si="6"/>
        <v/>
      </c>
    </row>
    <row r="11" spans="1:16" x14ac:dyDescent="0.25">
      <c r="A11" s="31"/>
      <c r="B11" s="31"/>
      <c r="C11" s="27"/>
      <c r="D11" s="27"/>
      <c r="E11" s="27"/>
      <c r="F11" s="45" t="str">
        <f t="shared" si="0"/>
        <v/>
      </c>
      <c r="G11" s="79" t="str">
        <f t="shared" si="1"/>
        <v/>
      </c>
      <c r="H11" s="27"/>
      <c r="I11" s="27"/>
      <c r="J11" s="80" t="str">
        <f t="shared" si="2"/>
        <v/>
      </c>
      <c r="L11" s="32">
        <v>7</v>
      </c>
      <c r="M11" s="30" t="str">
        <f t="shared" si="3"/>
        <v/>
      </c>
      <c r="N11" s="45" t="str">
        <f t="shared" si="4"/>
        <v/>
      </c>
      <c r="O11" s="49" t="str">
        <f t="shared" si="5"/>
        <v/>
      </c>
      <c r="P11" s="49" t="str">
        <f t="shared" si="6"/>
        <v/>
      </c>
    </row>
    <row r="12" spans="1:16" x14ac:dyDescent="0.25">
      <c r="A12" s="31"/>
      <c r="B12" s="31"/>
      <c r="C12" s="27"/>
      <c r="D12" s="27"/>
      <c r="E12" s="27"/>
      <c r="F12" s="45" t="str">
        <f t="shared" si="0"/>
        <v/>
      </c>
      <c r="G12" s="79" t="str">
        <f t="shared" si="1"/>
        <v/>
      </c>
      <c r="H12" s="27"/>
      <c r="I12" s="27"/>
      <c r="J12" s="80" t="str">
        <f t="shared" si="2"/>
        <v/>
      </c>
      <c r="L12" s="32">
        <v>8</v>
      </c>
      <c r="M12" s="30" t="str">
        <f t="shared" si="3"/>
        <v/>
      </c>
      <c r="N12" s="45" t="str">
        <f t="shared" si="4"/>
        <v/>
      </c>
      <c r="O12" s="49" t="str">
        <f t="shared" si="5"/>
        <v/>
      </c>
      <c r="P12" s="49" t="str">
        <f t="shared" si="6"/>
        <v/>
      </c>
    </row>
    <row r="13" spans="1:16" x14ac:dyDescent="0.25">
      <c r="A13" s="31"/>
      <c r="B13" s="31"/>
      <c r="C13" s="27"/>
      <c r="D13" s="27"/>
      <c r="E13" s="27"/>
      <c r="F13" s="45" t="str">
        <f t="shared" si="0"/>
        <v/>
      </c>
      <c r="G13" s="79" t="str">
        <f t="shared" si="1"/>
        <v/>
      </c>
      <c r="H13" s="27"/>
      <c r="I13" s="27"/>
      <c r="J13" s="80" t="str">
        <f t="shared" si="2"/>
        <v/>
      </c>
      <c r="L13" s="32">
        <v>9</v>
      </c>
      <c r="M13" s="30" t="str">
        <f t="shared" si="3"/>
        <v/>
      </c>
      <c r="N13" s="45" t="str">
        <f t="shared" si="4"/>
        <v/>
      </c>
      <c r="O13" s="49" t="str">
        <f t="shared" si="5"/>
        <v/>
      </c>
      <c r="P13" s="49" t="str">
        <f t="shared" si="6"/>
        <v/>
      </c>
    </row>
    <row r="14" spans="1:16" x14ac:dyDescent="0.25">
      <c r="A14" s="31"/>
      <c r="B14" s="31"/>
      <c r="C14" s="27"/>
      <c r="D14" s="27"/>
      <c r="E14" s="27"/>
      <c r="F14" s="45" t="str">
        <f t="shared" si="0"/>
        <v/>
      </c>
      <c r="G14" s="79" t="str">
        <f t="shared" si="1"/>
        <v/>
      </c>
      <c r="H14" s="27"/>
      <c r="I14" s="27"/>
      <c r="J14" s="80" t="str">
        <f t="shared" si="2"/>
        <v/>
      </c>
      <c r="L14" s="32">
        <v>10</v>
      </c>
      <c r="M14" s="30" t="str">
        <f t="shared" si="3"/>
        <v/>
      </c>
      <c r="N14" s="45" t="str">
        <f t="shared" si="4"/>
        <v/>
      </c>
      <c r="O14" s="49" t="str">
        <f t="shared" si="5"/>
        <v/>
      </c>
      <c r="P14" s="49" t="str">
        <f t="shared" si="6"/>
        <v/>
      </c>
    </row>
    <row r="15" spans="1:16" x14ac:dyDescent="0.25">
      <c r="A15" s="31"/>
      <c r="B15" s="31"/>
      <c r="C15" s="27"/>
      <c r="D15" s="27"/>
      <c r="E15" s="27"/>
      <c r="F15" s="45" t="str">
        <f t="shared" si="0"/>
        <v/>
      </c>
      <c r="G15" s="79" t="str">
        <f t="shared" si="1"/>
        <v/>
      </c>
      <c r="H15" s="27"/>
      <c r="I15" s="27"/>
      <c r="J15" s="80" t="str">
        <f t="shared" si="2"/>
        <v/>
      </c>
      <c r="L15" s="32">
        <v>11</v>
      </c>
      <c r="M15" s="30" t="str">
        <f t="shared" si="3"/>
        <v/>
      </c>
      <c r="N15" s="45" t="str">
        <f t="shared" si="4"/>
        <v/>
      </c>
      <c r="O15" s="49" t="str">
        <f t="shared" si="5"/>
        <v/>
      </c>
      <c r="P15" s="49" t="str">
        <f t="shared" si="6"/>
        <v/>
      </c>
    </row>
    <row r="16" spans="1:16" x14ac:dyDescent="0.25">
      <c r="A16" s="31"/>
      <c r="B16" s="31"/>
      <c r="C16" s="27"/>
      <c r="D16" s="27"/>
      <c r="E16" s="27"/>
      <c r="F16" s="45" t="str">
        <f t="shared" si="0"/>
        <v/>
      </c>
      <c r="G16" s="79" t="str">
        <f t="shared" si="1"/>
        <v/>
      </c>
      <c r="H16" s="27"/>
      <c r="I16" s="27"/>
      <c r="J16" s="80" t="str">
        <f t="shared" si="2"/>
        <v/>
      </c>
      <c r="L16" s="32">
        <v>12</v>
      </c>
      <c r="M16" s="30" t="str">
        <f t="shared" si="3"/>
        <v/>
      </c>
      <c r="N16" s="45" t="str">
        <f t="shared" si="4"/>
        <v/>
      </c>
      <c r="O16" s="49" t="str">
        <f t="shared" si="5"/>
        <v/>
      </c>
      <c r="P16" s="49" t="str">
        <f t="shared" si="6"/>
        <v/>
      </c>
    </row>
    <row r="17" spans="1:16" x14ac:dyDescent="0.25">
      <c r="A17" s="31"/>
      <c r="B17" s="31"/>
      <c r="C17" s="27"/>
      <c r="D17" s="27"/>
      <c r="E17" s="27"/>
      <c r="F17" s="45" t="str">
        <f t="shared" si="0"/>
        <v/>
      </c>
      <c r="G17" s="79" t="str">
        <f t="shared" si="1"/>
        <v/>
      </c>
      <c r="H17" s="27"/>
      <c r="I17" s="27"/>
      <c r="J17" s="80" t="str">
        <f t="shared" si="2"/>
        <v/>
      </c>
      <c r="L17" s="32">
        <v>13</v>
      </c>
      <c r="M17" s="30" t="str">
        <f t="shared" si="3"/>
        <v/>
      </c>
      <c r="N17" s="45" t="str">
        <f t="shared" si="4"/>
        <v/>
      </c>
      <c r="O17" s="49" t="str">
        <f t="shared" si="5"/>
        <v/>
      </c>
      <c r="P17" s="49" t="str">
        <f t="shared" si="6"/>
        <v/>
      </c>
    </row>
    <row r="18" spans="1:16" x14ac:dyDescent="0.25">
      <c r="A18" s="31"/>
      <c r="B18" s="31"/>
      <c r="C18" s="27"/>
      <c r="D18" s="27"/>
      <c r="E18" s="27"/>
      <c r="F18" s="45" t="str">
        <f t="shared" si="0"/>
        <v/>
      </c>
      <c r="G18" s="79" t="str">
        <f t="shared" si="1"/>
        <v/>
      </c>
      <c r="H18" s="27"/>
      <c r="I18" s="27"/>
      <c r="J18" s="80" t="str">
        <f t="shared" si="2"/>
        <v/>
      </c>
      <c r="L18" s="32">
        <v>14</v>
      </c>
      <c r="M18" s="30" t="str">
        <f t="shared" si="3"/>
        <v/>
      </c>
      <c r="N18" s="45" t="str">
        <f t="shared" si="4"/>
        <v/>
      </c>
      <c r="O18" s="49" t="str">
        <f t="shared" si="5"/>
        <v/>
      </c>
      <c r="P18" s="49" t="str">
        <f t="shared" si="6"/>
        <v/>
      </c>
    </row>
    <row r="19" spans="1:16" x14ac:dyDescent="0.25">
      <c r="A19" s="31"/>
      <c r="B19" s="31"/>
      <c r="C19" s="27"/>
      <c r="D19" s="27"/>
      <c r="E19" s="27"/>
      <c r="F19" s="45" t="str">
        <f t="shared" si="0"/>
        <v/>
      </c>
      <c r="G19" s="79" t="str">
        <f t="shared" si="1"/>
        <v/>
      </c>
      <c r="H19" s="27"/>
      <c r="I19" s="27"/>
      <c r="J19" s="80" t="str">
        <f t="shared" si="2"/>
        <v/>
      </c>
      <c r="L19" s="32">
        <v>15</v>
      </c>
      <c r="M19" s="30" t="str">
        <f t="shared" si="3"/>
        <v/>
      </c>
      <c r="N19" s="45" t="str">
        <f t="shared" si="4"/>
        <v/>
      </c>
      <c r="O19" s="49" t="str">
        <f t="shared" si="5"/>
        <v/>
      </c>
      <c r="P19" s="49" t="str">
        <f t="shared" si="6"/>
        <v/>
      </c>
    </row>
    <row r="20" spans="1:16" x14ac:dyDescent="0.25">
      <c r="A20" s="33" t="s">
        <v>294</v>
      </c>
      <c r="B20" s="33" t="str">
        <f>COUNTA(A5:A19)&amp;" RSM"</f>
        <v>3 RSM</v>
      </c>
      <c r="C20" s="34">
        <f>SUM(C5:C19)</f>
        <v>36425</v>
      </c>
      <c r="D20" s="34">
        <f>SUM(D5:D19)</f>
        <v>9191</v>
      </c>
      <c r="E20" s="34">
        <f>SUM(E5:E19)</f>
        <v>10000</v>
      </c>
      <c r="F20" s="48">
        <f>IF(E20=0,0,D20/E20)</f>
        <v>0.91910000000000003</v>
      </c>
      <c r="G20" s="33" t="str">
        <f>IF(F20&gt;=1,"Verde",IF(F20&gt;=0.7,"Ámbar","Rojo"))</f>
        <v>Ámbar</v>
      </c>
      <c r="H20" s="34">
        <f>SUM(H5:H19)</f>
        <v>27233</v>
      </c>
      <c r="I20" s="34">
        <f>SUM(I5:I19)</f>
        <v>3202</v>
      </c>
    </row>
    <row r="22" spans="1:16" x14ac:dyDescent="0.25">
      <c r="A22" s="26" t="s">
        <v>295</v>
      </c>
    </row>
    <row r="23" spans="1:16" x14ac:dyDescent="0.25">
      <c r="A23" s="30" t="s">
        <v>296</v>
      </c>
      <c r="B23" s="32">
        <f>COUNTIF(F5:F19,"&gt;=1")</f>
        <v>2</v>
      </c>
    </row>
    <row r="24" spans="1:16" x14ac:dyDescent="0.25">
      <c r="A24" s="30" t="s">
        <v>297</v>
      </c>
      <c r="B24" s="32">
        <f>COUNTIFS(F5:F19,"&lt;0.7",A5:A19,"&lt;&gt;")</f>
        <v>0</v>
      </c>
    </row>
    <row r="25" spans="1:16" x14ac:dyDescent="0.25">
      <c r="A25" s="30" t="s">
        <v>229</v>
      </c>
      <c r="B25" s="49">
        <f>D20-E20</f>
        <v>-809</v>
      </c>
    </row>
    <row r="26" spans="1:16" x14ac:dyDescent="0.25">
      <c r="A26" s="30" t="s">
        <v>251</v>
      </c>
      <c r="B26" s="49">
        <f>H20+I20</f>
        <v>30435</v>
      </c>
    </row>
    <row r="27" spans="1:16" x14ac:dyDescent="0.25">
      <c r="A27" s="30" t="s">
        <v>237</v>
      </c>
      <c r="B27" s="29">
        <f>IFERROR(C20/D20,"")</f>
        <v>3.963116091828963</v>
      </c>
    </row>
  </sheetData>
  <conditionalFormatting sqref="F5:F20">
    <cfRule type="cellIs" dxfId="22" priority="2" operator="greaterThanOrEqual">
      <formula>1</formula>
    </cfRule>
    <cfRule type="cellIs" dxfId="21" priority="3" operator="between">
      <formula>0.7</formula>
      <formula>0.9999</formula>
    </cfRule>
    <cfRule type="cellIs" dxfId="20" priority="4" operator="lessThan">
      <formula>0.7</formula>
    </cfRule>
  </conditionalFormatting>
  <conditionalFormatting sqref="N5:N19">
    <cfRule type="cellIs" dxfId="19" priority="5" operator="greaterThanOrEqual">
      <formula>1</formula>
    </cfRule>
    <cfRule type="cellIs" dxfId="18" priority="6" operator="between">
      <formula>0.7</formula>
      <formula>0.9999</formula>
    </cfRule>
    <cfRule type="cellIs" dxfId="17" priority="7" operator="lessThan">
      <formula>0.7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61530"/>
  </sheetPr>
  <dimension ref="A1:P27"/>
  <sheetViews>
    <sheetView showGridLines="0" zoomScaleNormal="100" workbookViewId="0">
      <selection activeCell="D19" sqref="D19"/>
    </sheetView>
  </sheetViews>
  <sheetFormatPr baseColWidth="10" defaultColWidth="8.7109375" defaultRowHeight="15" x14ac:dyDescent="0.25"/>
  <cols>
    <col min="1" max="1" width="38" customWidth="1"/>
    <col min="2" max="2" width="22" customWidth="1"/>
    <col min="3" max="4" width="13" customWidth="1"/>
    <col min="5" max="5" width="14" customWidth="1"/>
    <col min="6" max="6" width="11" customWidth="1"/>
    <col min="7" max="7" width="10" customWidth="1"/>
    <col min="8" max="8" width="13" customWidth="1"/>
    <col min="9" max="10" width="12" customWidth="1"/>
    <col min="11" max="11" width="2" customWidth="1"/>
    <col min="12" max="12" width="5" customWidth="1"/>
    <col min="13" max="13" width="26" customWidth="1"/>
    <col min="14" max="14" width="10" customWidth="1"/>
    <col min="15" max="16" width="12" customWidth="1"/>
  </cols>
  <sheetData>
    <row r="1" spans="1:16" ht="18" customHeight="1" x14ac:dyDescent="0.25">
      <c r="A1" s="2" t="s">
        <v>341</v>
      </c>
    </row>
    <row r="2" spans="1:16" x14ac:dyDescent="0.25">
      <c r="A2" s="24" t="s">
        <v>263</v>
      </c>
    </row>
    <row r="4" spans="1:16" ht="30" customHeight="1" x14ac:dyDescent="0.25">
      <c r="A4" s="25" t="s">
        <v>264</v>
      </c>
      <c r="B4" s="25" t="s">
        <v>265</v>
      </c>
      <c r="C4" s="25" t="s">
        <v>266</v>
      </c>
      <c r="D4" s="25" t="s">
        <v>267</v>
      </c>
      <c r="E4" s="25" t="s">
        <v>268</v>
      </c>
      <c r="F4" s="25" t="s">
        <v>269</v>
      </c>
      <c r="G4" s="25" t="s">
        <v>231</v>
      </c>
      <c r="H4" s="25" t="s">
        <v>270</v>
      </c>
      <c r="I4" s="25" t="s">
        <v>271</v>
      </c>
      <c r="J4" s="25" t="s">
        <v>272</v>
      </c>
      <c r="L4" s="77" t="s">
        <v>47</v>
      </c>
      <c r="M4" s="77" t="s">
        <v>273</v>
      </c>
      <c r="N4" s="77" t="s">
        <v>239</v>
      </c>
      <c r="O4" s="77" t="s">
        <v>274</v>
      </c>
      <c r="P4" s="77" t="s">
        <v>275</v>
      </c>
    </row>
    <row r="5" spans="1:16" x14ac:dyDescent="0.25">
      <c r="A5" s="31" t="s">
        <v>342</v>
      </c>
      <c r="B5" s="31" t="s">
        <v>343</v>
      </c>
      <c r="C5" s="27">
        <v>52792</v>
      </c>
      <c r="D5" s="27">
        <v>42195</v>
      </c>
      <c r="E5" s="27">
        <v>23401</v>
      </c>
      <c r="F5" s="45">
        <f t="shared" ref="F5:F19" si="0">IF(A5="","",IF(E5=0,0,D5/E5))</f>
        <v>1.803128071449938</v>
      </c>
      <c r="G5" s="79" t="str">
        <f t="shared" ref="G5:G19" si="1">IF(F5="","",IF(F5&gt;=1,"Verde",IF(F5&gt;=0.7,"Ámbar","Rojo")))</f>
        <v>Verde</v>
      </c>
      <c r="H5" s="27">
        <v>8580</v>
      </c>
      <c r="I5" s="27">
        <v>456</v>
      </c>
      <c r="J5" s="80">
        <f t="shared" ref="J5:J19" si="2">IF(A5="","",F5+D5/1000000000+(100-ROW())/1000000000000)</f>
        <v>1.8031702665449381</v>
      </c>
      <c r="L5" s="32">
        <v>1</v>
      </c>
      <c r="M5" s="30" t="str">
        <f t="shared" ref="M5:M19" si="3">IF(L5&gt;COUNT($J$5:$J$19),"",INDEX($B$5:$B$19,MATCH(LARGE($J$5:$J$19,L5),$J$5:$J$19,0)))</f>
        <v>Yazmín Altamirano</v>
      </c>
      <c r="N5" s="45">
        <f t="shared" ref="N5:N19" si="4">IF(M5="","",INDEX($F$5:$F$19,MATCH(LARGE($J$5:$J$19,L5),$J$5:$J$19,0)))</f>
        <v>1.803128071449938</v>
      </c>
      <c r="O5" s="49">
        <f t="shared" ref="O5:O19" si="5">IF(M5="","",INDEX($D$5:$D$19,MATCH(LARGE($J$5:$J$19,L5),$J$5:$J$19,0)))</f>
        <v>42195</v>
      </c>
      <c r="P5" s="49">
        <f t="shared" ref="P5:P19" si="6">IF(M5="","",INDEX($E$5:$E$19,MATCH(LARGE($J$5:$J$19,L5),$J$5:$J$19,0)))</f>
        <v>23401</v>
      </c>
    </row>
    <row r="6" spans="1:16" x14ac:dyDescent="0.25">
      <c r="A6" s="31" t="s">
        <v>282</v>
      </c>
      <c r="B6" s="31" t="s">
        <v>283</v>
      </c>
      <c r="C6" s="27">
        <f>81941+5399</f>
        <v>87340</v>
      </c>
      <c r="D6" s="27">
        <f>54854+9666</f>
        <v>64520</v>
      </c>
      <c r="E6" s="27">
        <f>50460+37595</f>
        <v>88055</v>
      </c>
      <c r="F6" s="45">
        <f t="shared" si="0"/>
        <v>0.73272386576571458</v>
      </c>
      <c r="G6" s="79" t="str">
        <f t="shared" si="1"/>
        <v>Ámbar</v>
      </c>
      <c r="H6" s="27">
        <v>25839</v>
      </c>
      <c r="I6" s="27">
        <v>14490</v>
      </c>
      <c r="J6" s="80">
        <f t="shared" si="2"/>
        <v>0.73278838585971462</v>
      </c>
      <c r="L6" s="32">
        <v>2</v>
      </c>
      <c r="M6" s="30" t="str">
        <f t="shared" si="3"/>
        <v>Diego A. Calderón</v>
      </c>
      <c r="N6" s="45">
        <f t="shared" si="4"/>
        <v>0.73272386576571458</v>
      </c>
      <c r="O6" s="49">
        <f t="shared" si="5"/>
        <v>64520</v>
      </c>
      <c r="P6" s="49">
        <f t="shared" si="6"/>
        <v>88055</v>
      </c>
    </row>
    <row r="7" spans="1:16" x14ac:dyDescent="0.25">
      <c r="A7" s="31"/>
      <c r="B7" s="31"/>
      <c r="C7" s="27"/>
      <c r="D7" s="27"/>
      <c r="E7" s="27"/>
      <c r="F7" s="45" t="str">
        <f t="shared" si="0"/>
        <v/>
      </c>
      <c r="G7" s="79" t="str">
        <f t="shared" si="1"/>
        <v/>
      </c>
      <c r="H7" s="27"/>
      <c r="I7" s="27"/>
      <c r="J7" s="80" t="str">
        <f t="shared" si="2"/>
        <v/>
      </c>
      <c r="L7" s="32">
        <v>3</v>
      </c>
      <c r="M7" s="30" t="str">
        <f t="shared" si="3"/>
        <v/>
      </c>
      <c r="N7" s="45" t="str">
        <f t="shared" si="4"/>
        <v/>
      </c>
      <c r="O7" s="49" t="str">
        <f t="shared" si="5"/>
        <v/>
      </c>
      <c r="P7" s="49" t="str">
        <f t="shared" si="6"/>
        <v/>
      </c>
    </row>
    <row r="8" spans="1:16" x14ac:dyDescent="0.25">
      <c r="A8" s="31"/>
      <c r="B8" s="31"/>
      <c r="C8" s="27"/>
      <c r="D8" s="27"/>
      <c r="E8" s="27"/>
      <c r="F8" s="45" t="str">
        <f t="shared" si="0"/>
        <v/>
      </c>
      <c r="G8" s="79" t="str">
        <f t="shared" si="1"/>
        <v/>
      </c>
      <c r="H8" s="27"/>
      <c r="I8" s="27"/>
      <c r="J8" s="80" t="str">
        <f t="shared" si="2"/>
        <v/>
      </c>
      <c r="L8" s="32">
        <v>4</v>
      </c>
      <c r="M8" s="30" t="str">
        <f t="shared" si="3"/>
        <v/>
      </c>
      <c r="N8" s="45" t="str">
        <f t="shared" si="4"/>
        <v/>
      </c>
      <c r="O8" s="49" t="str">
        <f t="shared" si="5"/>
        <v/>
      </c>
      <c r="P8" s="49" t="str">
        <f t="shared" si="6"/>
        <v/>
      </c>
    </row>
    <row r="9" spans="1:16" x14ac:dyDescent="0.25">
      <c r="A9" s="31"/>
      <c r="B9" s="31"/>
      <c r="C9" s="27"/>
      <c r="D9" s="27"/>
      <c r="E9" s="27"/>
      <c r="F9" s="45" t="str">
        <f t="shared" si="0"/>
        <v/>
      </c>
      <c r="G9" s="79" t="str">
        <f t="shared" si="1"/>
        <v/>
      </c>
      <c r="H9" s="27"/>
      <c r="I9" s="27"/>
      <c r="J9" s="80" t="str">
        <f t="shared" si="2"/>
        <v/>
      </c>
      <c r="L9" s="32">
        <v>5</v>
      </c>
      <c r="M9" s="30" t="str">
        <f t="shared" si="3"/>
        <v/>
      </c>
      <c r="N9" s="45" t="str">
        <f t="shared" si="4"/>
        <v/>
      </c>
      <c r="O9" s="49" t="str">
        <f t="shared" si="5"/>
        <v/>
      </c>
      <c r="P9" s="49" t="str">
        <f t="shared" si="6"/>
        <v/>
      </c>
    </row>
    <row r="10" spans="1:16" x14ac:dyDescent="0.25">
      <c r="A10" s="31"/>
      <c r="B10" s="31"/>
      <c r="C10" s="27"/>
      <c r="D10" s="27"/>
      <c r="E10" s="27"/>
      <c r="F10" s="45" t="str">
        <f t="shared" si="0"/>
        <v/>
      </c>
      <c r="G10" s="79" t="str">
        <f t="shared" si="1"/>
        <v/>
      </c>
      <c r="H10" s="27"/>
      <c r="I10" s="27"/>
      <c r="J10" s="80" t="str">
        <f t="shared" si="2"/>
        <v/>
      </c>
      <c r="L10" s="32">
        <v>6</v>
      </c>
      <c r="M10" s="30" t="str">
        <f t="shared" si="3"/>
        <v/>
      </c>
      <c r="N10" s="45" t="str">
        <f t="shared" si="4"/>
        <v/>
      </c>
      <c r="O10" s="49" t="str">
        <f t="shared" si="5"/>
        <v/>
      </c>
      <c r="P10" s="49" t="str">
        <f t="shared" si="6"/>
        <v/>
      </c>
    </row>
    <row r="11" spans="1:16" x14ac:dyDescent="0.25">
      <c r="A11" s="31"/>
      <c r="B11" s="31"/>
      <c r="C11" s="27"/>
      <c r="D11" s="27"/>
      <c r="E11" s="27"/>
      <c r="F11" s="45" t="str">
        <f t="shared" si="0"/>
        <v/>
      </c>
      <c r="G11" s="79" t="str">
        <f t="shared" si="1"/>
        <v/>
      </c>
      <c r="H11" s="27"/>
      <c r="I11" s="27"/>
      <c r="J11" s="80" t="str">
        <f t="shared" si="2"/>
        <v/>
      </c>
      <c r="L11" s="32">
        <v>7</v>
      </c>
      <c r="M11" s="30" t="str">
        <f t="shared" si="3"/>
        <v/>
      </c>
      <c r="N11" s="45" t="str">
        <f t="shared" si="4"/>
        <v/>
      </c>
      <c r="O11" s="49" t="str">
        <f t="shared" si="5"/>
        <v/>
      </c>
      <c r="P11" s="49" t="str">
        <f t="shared" si="6"/>
        <v/>
      </c>
    </row>
    <row r="12" spans="1:16" x14ac:dyDescent="0.25">
      <c r="A12" s="31"/>
      <c r="B12" s="31"/>
      <c r="C12" s="27"/>
      <c r="D12" s="27"/>
      <c r="E12" s="27"/>
      <c r="F12" s="45" t="str">
        <f t="shared" si="0"/>
        <v/>
      </c>
      <c r="G12" s="79" t="str">
        <f t="shared" si="1"/>
        <v/>
      </c>
      <c r="H12" s="27"/>
      <c r="I12" s="27"/>
      <c r="J12" s="80" t="str">
        <f t="shared" si="2"/>
        <v/>
      </c>
      <c r="L12" s="32">
        <v>8</v>
      </c>
      <c r="M12" s="30" t="str">
        <f t="shared" si="3"/>
        <v/>
      </c>
      <c r="N12" s="45" t="str">
        <f t="shared" si="4"/>
        <v/>
      </c>
      <c r="O12" s="49" t="str">
        <f t="shared" si="5"/>
        <v/>
      </c>
      <c r="P12" s="49" t="str">
        <f t="shared" si="6"/>
        <v/>
      </c>
    </row>
    <row r="13" spans="1:16" x14ac:dyDescent="0.25">
      <c r="A13" s="31"/>
      <c r="B13" s="31"/>
      <c r="C13" s="27"/>
      <c r="D13" s="27"/>
      <c r="E13" s="27"/>
      <c r="F13" s="45" t="str">
        <f t="shared" si="0"/>
        <v/>
      </c>
      <c r="G13" s="79" t="str">
        <f t="shared" si="1"/>
        <v/>
      </c>
      <c r="H13" s="27"/>
      <c r="I13" s="27"/>
      <c r="J13" s="80" t="str">
        <f t="shared" si="2"/>
        <v/>
      </c>
      <c r="L13" s="32">
        <v>9</v>
      </c>
      <c r="M13" s="30" t="str">
        <f t="shared" si="3"/>
        <v/>
      </c>
      <c r="N13" s="45" t="str">
        <f t="shared" si="4"/>
        <v/>
      </c>
      <c r="O13" s="49" t="str">
        <f t="shared" si="5"/>
        <v/>
      </c>
      <c r="P13" s="49" t="str">
        <f t="shared" si="6"/>
        <v/>
      </c>
    </row>
    <row r="14" spans="1:16" x14ac:dyDescent="0.25">
      <c r="A14" s="31"/>
      <c r="B14" s="31"/>
      <c r="C14" s="27"/>
      <c r="D14" s="27"/>
      <c r="E14" s="27"/>
      <c r="F14" s="45" t="str">
        <f t="shared" si="0"/>
        <v/>
      </c>
      <c r="G14" s="79" t="str">
        <f t="shared" si="1"/>
        <v/>
      </c>
      <c r="H14" s="27"/>
      <c r="I14" s="27"/>
      <c r="J14" s="80" t="str">
        <f t="shared" si="2"/>
        <v/>
      </c>
      <c r="L14" s="32">
        <v>10</v>
      </c>
      <c r="M14" s="30" t="str">
        <f t="shared" si="3"/>
        <v/>
      </c>
      <c r="N14" s="45" t="str">
        <f t="shared" si="4"/>
        <v/>
      </c>
      <c r="O14" s="49" t="str">
        <f t="shared" si="5"/>
        <v/>
      </c>
      <c r="P14" s="49" t="str">
        <f t="shared" si="6"/>
        <v/>
      </c>
    </row>
    <row r="15" spans="1:16" x14ac:dyDescent="0.25">
      <c r="A15" s="31"/>
      <c r="B15" s="31"/>
      <c r="C15" s="27"/>
      <c r="D15" s="27"/>
      <c r="E15" s="27"/>
      <c r="F15" s="45" t="str">
        <f t="shared" si="0"/>
        <v/>
      </c>
      <c r="G15" s="79" t="str">
        <f t="shared" si="1"/>
        <v/>
      </c>
      <c r="H15" s="27"/>
      <c r="I15" s="27"/>
      <c r="J15" s="80" t="str">
        <f t="shared" si="2"/>
        <v/>
      </c>
      <c r="L15" s="32">
        <v>11</v>
      </c>
      <c r="M15" s="30" t="str">
        <f t="shared" si="3"/>
        <v/>
      </c>
      <c r="N15" s="45" t="str">
        <f t="shared" si="4"/>
        <v/>
      </c>
      <c r="O15" s="49" t="str">
        <f t="shared" si="5"/>
        <v/>
      </c>
      <c r="P15" s="49" t="str">
        <f t="shared" si="6"/>
        <v/>
      </c>
    </row>
    <row r="16" spans="1:16" x14ac:dyDescent="0.25">
      <c r="A16" s="31"/>
      <c r="B16" s="31"/>
      <c r="C16" s="27"/>
      <c r="D16" s="27"/>
      <c r="E16" s="27"/>
      <c r="F16" s="45" t="str">
        <f t="shared" si="0"/>
        <v/>
      </c>
      <c r="G16" s="79" t="str">
        <f t="shared" si="1"/>
        <v/>
      </c>
      <c r="H16" s="27"/>
      <c r="I16" s="27"/>
      <c r="J16" s="80" t="str">
        <f t="shared" si="2"/>
        <v/>
      </c>
      <c r="L16" s="32">
        <v>12</v>
      </c>
      <c r="M16" s="30" t="str">
        <f t="shared" si="3"/>
        <v/>
      </c>
      <c r="N16" s="45" t="str">
        <f t="shared" si="4"/>
        <v/>
      </c>
      <c r="O16" s="49" t="str">
        <f t="shared" si="5"/>
        <v/>
      </c>
      <c r="P16" s="49" t="str">
        <f t="shared" si="6"/>
        <v/>
      </c>
    </row>
    <row r="17" spans="1:16" x14ac:dyDescent="0.25">
      <c r="A17" s="31"/>
      <c r="B17" s="31"/>
      <c r="C17" s="27"/>
      <c r="D17" s="27"/>
      <c r="E17" s="27"/>
      <c r="F17" s="45" t="str">
        <f t="shared" si="0"/>
        <v/>
      </c>
      <c r="G17" s="79" t="str">
        <f t="shared" si="1"/>
        <v/>
      </c>
      <c r="H17" s="27"/>
      <c r="I17" s="27"/>
      <c r="J17" s="80" t="str">
        <f t="shared" si="2"/>
        <v/>
      </c>
      <c r="L17" s="32">
        <v>13</v>
      </c>
      <c r="M17" s="30" t="str">
        <f t="shared" si="3"/>
        <v/>
      </c>
      <c r="N17" s="45" t="str">
        <f t="shared" si="4"/>
        <v/>
      </c>
      <c r="O17" s="49" t="str">
        <f t="shared" si="5"/>
        <v/>
      </c>
      <c r="P17" s="49" t="str">
        <f t="shared" si="6"/>
        <v/>
      </c>
    </row>
    <row r="18" spans="1:16" x14ac:dyDescent="0.25">
      <c r="A18" s="31"/>
      <c r="B18" s="31"/>
      <c r="C18" s="27"/>
      <c r="D18" s="27"/>
      <c r="E18" s="27"/>
      <c r="F18" s="45" t="str">
        <f t="shared" si="0"/>
        <v/>
      </c>
      <c r="G18" s="79" t="str">
        <f t="shared" si="1"/>
        <v/>
      </c>
      <c r="H18" s="27"/>
      <c r="I18" s="27"/>
      <c r="J18" s="80" t="str">
        <f t="shared" si="2"/>
        <v/>
      </c>
      <c r="L18" s="32">
        <v>14</v>
      </c>
      <c r="M18" s="30" t="str">
        <f t="shared" si="3"/>
        <v/>
      </c>
      <c r="N18" s="45" t="str">
        <f t="shared" si="4"/>
        <v/>
      </c>
      <c r="O18" s="49" t="str">
        <f t="shared" si="5"/>
        <v/>
      </c>
      <c r="P18" s="49" t="str">
        <f t="shared" si="6"/>
        <v/>
      </c>
    </row>
    <row r="19" spans="1:16" x14ac:dyDescent="0.25">
      <c r="A19" s="31"/>
      <c r="B19" s="31"/>
      <c r="C19" s="27"/>
      <c r="D19" s="27"/>
      <c r="E19" s="27"/>
      <c r="F19" s="45" t="str">
        <f t="shared" si="0"/>
        <v/>
      </c>
      <c r="G19" s="79" t="str">
        <f t="shared" si="1"/>
        <v/>
      </c>
      <c r="H19" s="27"/>
      <c r="I19" s="27"/>
      <c r="J19" s="80" t="str">
        <f t="shared" si="2"/>
        <v/>
      </c>
      <c r="L19" s="32">
        <v>15</v>
      </c>
      <c r="M19" s="30" t="str">
        <f t="shared" si="3"/>
        <v/>
      </c>
      <c r="N19" s="45" t="str">
        <f t="shared" si="4"/>
        <v/>
      </c>
      <c r="O19" s="49" t="str">
        <f t="shared" si="5"/>
        <v/>
      </c>
      <c r="P19" s="49" t="str">
        <f t="shared" si="6"/>
        <v/>
      </c>
    </row>
    <row r="20" spans="1:16" x14ac:dyDescent="0.25">
      <c r="A20" s="33" t="s">
        <v>294</v>
      </c>
      <c r="B20" s="33" t="str">
        <f>COUNTA(A5:A19)&amp;" RSM"</f>
        <v>2 RSM</v>
      </c>
      <c r="C20" s="34">
        <f>SUM(C5:C19)</f>
        <v>140132</v>
      </c>
      <c r="D20" s="34">
        <f>SUM(D5:D19)</f>
        <v>106715</v>
      </c>
      <c r="E20" s="34">
        <f>SUM(E5:E19)</f>
        <v>111456</v>
      </c>
      <c r="F20" s="48">
        <f>IF(E20=0,0,D20/E20)</f>
        <v>0.95746303474016647</v>
      </c>
      <c r="G20" s="33" t="str">
        <f>IF(F20&gt;=1,"Verde",IF(F20&gt;=0.7,"Ámbar","Rojo"))</f>
        <v>Ámbar</v>
      </c>
      <c r="H20" s="34">
        <f>SUM(H5:H19)</f>
        <v>34419</v>
      </c>
      <c r="I20" s="34">
        <f>SUM(I5:I19)</f>
        <v>14946</v>
      </c>
    </row>
    <row r="22" spans="1:16" x14ac:dyDescent="0.25">
      <c r="A22" s="26" t="s">
        <v>295</v>
      </c>
    </row>
    <row r="23" spans="1:16" x14ac:dyDescent="0.25">
      <c r="A23" s="30" t="s">
        <v>296</v>
      </c>
      <c r="B23" s="32">
        <f>COUNTIF(F5:F19,"&gt;=1")</f>
        <v>1</v>
      </c>
    </row>
    <row r="24" spans="1:16" x14ac:dyDescent="0.25">
      <c r="A24" s="30" t="s">
        <v>297</v>
      </c>
      <c r="B24" s="32">
        <f>COUNTIFS(F5:F19,"&lt;0.7",A5:A19,"&lt;&gt;")</f>
        <v>0</v>
      </c>
    </row>
    <row r="25" spans="1:16" x14ac:dyDescent="0.25">
      <c r="A25" s="30" t="s">
        <v>229</v>
      </c>
      <c r="B25" s="49">
        <f>D20-E20</f>
        <v>-4741</v>
      </c>
    </row>
    <row r="26" spans="1:16" x14ac:dyDescent="0.25">
      <c r="A26" s="30" t="s">
        <v>251</v>
      </c>
      <c r="B26" s="49">
        <f>H20+I20</f>
        <v>49365</v>
      </c>
    </row>
    <row r="27" spans="1:16" x14ac:dyDescent="0.25">
      <c r="A27" s="30" t="s">
        <v>237</v>
      </c>
      <c r="B27" s="29">
        <f>IFERROR(C20/D20,"")</f>
        <v>1.313142482312702</v>
      </c>
    </row>
  </sheetData>
  <conditionalFormatting sqref="F5:F20">
    <cfRule type="cellIs" dxfId="16" priority="2" operator="greaterThanOrEqual">
      <formula>1</formula>
    </cfRule>
    <cfRule type="cellIs" dxfId="15" priority="3" operator="between">
      <formula>0.7</formula>
      <formula>0.9999</formula>
    </cfRule>
    <cfRule type="cellIs" dxfId="14" priority="4" operator="lessThan">
      <formula>0.7</formula>
    </cfRule>
  </conditionalFormatting>
  <conditionalFormatting sqref="N5:N19">
    <cfRule type="cellIs" dxfId="13" priority="5" operator="greaterThanOrEqual">
      <formula>1</formula>
    </cfRule>
    <cfRule type="cellIs" dxfId="12" priority="6" operator="between">
      <formula>0.7</formula>
      <formula>0.9999</formula>
    </cfRule>
    <cfRule type="cellIs" dxfId="11" priority="7" operator="lessThan">
      <formula>0.7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61530"/>
  </sheetPr>
  <dimension ref="A1:P27"/>
  <sheetViews>
    <sheetView showGridLines="0" zoomScaleNormal="100" workbookViewId="0">
      <selection activeCell="B37" sqref="B37"/>
    </sheetView>
  </sheetViews>
  <sheetFormatPr baseColWidth="10" defaultColWidth="8.7109375" defaultRowHeight="15" x14ac:dyDescent="0.25"/>
  <cols>
    <col min="1" max="1" width="38" customWidth="1"/>
    <col min="2" max="2" width="22" customWidth="1"/>
    <col min="3" max="4" width="13" customWidth="1"/>
    <col min="5" max="5" width="14" customWidth="1"/>
    <col min="6" max="6" width="11" customWidth="1"/>
    <col min="7" max="7" width="10" customWidth="1"/>
    <col min="8" max="8" width="13" customWidth="1"/>
    <col min="9" max="10" width="12" customWidth="1"/>
    <col min="11" max="11" width="2" customWidth="1"/>
    <col min="12" max="12" width="5" customWidth="1"/>
    <col min="13" max="13" width="26" customWidth="1"/>
    <col min="14" max="14" width="10" customWidth="1"/>
    <col min="15" max="16" width="12" customWidth="1"/>
  </cols>
  <sheetData>
    <row r="1" spans="1:16" ht="18" customHeight="1" x14ac:dyDescent="0.25">
      <c r="A1" s="2" t="s">
        <v>344</v>
      </c>
    </row>
    <row r="2" spans="1:16" x14ac:dyDescent="0.25">
      <c r="A2" s="24" t="s">
        <v>263</v>
      </c>
    </row>
    <row r="4" spans="1:16" ht="30" customHeight="1" x14ac:dyDescent="0.25">
      <c r="A4" s="25" t="s">
        <v>264</v>
      </c>
      <c r="B4" s="25" t="s">
        <v>265</v>
      </c>
      <c r="C4" s="25" t="s">
        <v>266</v>
      </c>
      <c r="D4" s="25" t="s">
        <v>267</v>
      </c>
      <c r="E4" s="25" t="s">
        <v>268</v>
      </c>
      <c r="F4" s="25" t="s">
        <v>269</v>
      </c>
      <c r="G4" s="25" t="s">
        <v>231</v>
      </c>
      <c r="H4" s="25" t="s">
        <v>270</v>
      </c>
      <c r="I4" s="25" t="s">
        <v>271</v>
      </c>
      <c r="J4" s="25" t="s">
        <v>272</v>
      </c>
      <c r="L4" s="77" t="s">
        <v>47</v>
      </c>
      <c r="M4" s="77" t="s">
        <v>273</v>
      </c>
      <c r="N4" s="77" t="s">
        <v>239</v>
      </c>
      <c r="O4" s="77" t="s">
        <v>274</v>
      </c>
      <c r="P4" s="77" t="s">
        <v>275</v>
      </c>
    </row>
    <row r="5" spans="1:16" x14ac:dyDescent="0.25">
      <c r="A5" s="31" t="s">
        <v>342</v>
      </c>
      <c r="B5" s="31" t="s">
        <v>343</v>
      </c>
      <c r="C5" s="27">
        <v>850</v>
      </c>
      <c r="D5" s="27">
        <v>1752</v>
      </c>
      <c r="E5" s="27">
        <v>1118</v>
      </c>
      <c r="F5" s="45">
        <f t="shared" ref="F5:F19" si="0">IF(A5="","",IF(E5=0,0,D5/E5))</f>
        <v>1.5670840787119857</v>
      </c>
      <c r="G5" s="79" t="str">
        <f t="shared" ref="G5:G19" si="1">IF(F5="","",IF(F5&gt;=1,"Verde",IF(F5&gt;=0.7,"Ámbar","Rojo")))</f>
        <v>Verde</v>
      </c>
      <c r="H5" s="27">
        <v>0</v>
      </c>
      <c r="I5" s="27">
        <v>0</v>
      </c>
      <c r="J5" s="80">
        <f t="shared" ref="J5:J19" si="2">IF(A5="","",F5+D5/1000000000+(100-ROW())/1000000000000)</f>
        <v>1.5670858308069857</v>
      </c>
      <c r="L5" s="32">
        <v>1</v>
      </c>
      <c r="M5" s="30" t="str">
        <f t="shared" ref="M5:M19" si="3">IF(L5&gt;COUNT($J$5:$J$19),"",INDEX($B$5:$B$19,MATCH(LARGE($J$5:$J$19,L5),$J$5:$J$19,0)))</f>
        <v>Yazmín Altamirano</v>
      </c>
      <c r="N5" s="45">
        <f t="shared" ref="N5:N19" si="4">IF(M5="","",INDEX($F$5:$F$19,MATCH(LARGE($J$5:$J$19,L5),$J$5:$J$19,0)))</f>
        <v>1.5670840787119857</v>
      </c>
      <c r="O5" s="49">
        <f t="shared" ref="O5:O19" si="5">IF(M5="","",INDEX($D$5:$D$19,MATCH(LARGE($J$5:$J$19,L5),$J$5:$J$19,0)))</f>
        <v>1752</v>
      </c>
      <c r="P5" s="49">
        <f t="shared" ref="P5:P19" si="6">IF(M5="","",INDEX($E$5:$E$19,MATCH(LARGE($J$5:$J$19,L5),$J$5:$J$19,0)))</f>
        <v>1118</v>
      </c>
    </row>
    <row r="6" spans="1:16" x14ac:dyDescent="0.25">
      <c r="A6" s="31" t="s">
        <v>345</v>
      </c>
      <c r="B6" s="31" t="s">
        <v>346</v>
      </c>
      <c r="C6" s="27">
        <v>57561</v>
      </c>
      <c r="D6" s="27">
        <v>67678</v>
      </c>
      <c r="E6" s="27">
        <v>44250</v>
      </c>
      <c r="F6" s="45">
        <f t="shared" si="0"/>
        <v>1.5294463276836159</v>
      </c>
      <c r="G6" s="79" t="str">
        <f t="shared" si="1"/>
        <v>Verde</v>
      </c>
      <c r="H6" s="27">
        <v>6066</v>
      </c>
      <c r="I6" s="27">
        <v>0</v>
      </c>
      <c r="J6" s="80">
        <f t="shared" si="2"/>
        <v>1.5295140057776158</v>
      </c>
      <c r="L6" s="32">
        <v>2</v>
      </c>
      <c r="M6" s="30" t="str">
        <f t="shared" si="3"/>
        <v>Jairo A. Quintana</v>
      </c>
      <c r="N6" s="45">
        <f t="shared" si="4"/>
        <v>1.5294463276836159</v>
      </c>
      <c r="O6" s="49">
        <f t="shared" si="5"/>
        <v>67678</v>
      </c>
      <c r="P6" s="49">
        <f t="shared" si="6"/>
        <v>44250</v>
      </c>
    </row>
    <row r="7" spans="1:16" x14ac:dyDescent="0.25">
      <c r="A7" s="31"/>
      <c r="B7" s="31"/>
      <c r="C7" s="27"/>
      <c r="D7" s="27"/>
      <c r="E7" s="27"/>
      <c r="F7" s="45" t="str">
        <f t="shared" si="0"/>
        <v/>
      </c>
      <c r="G7" s="79" t="str">
        <f t="shared" si="1"/>
        <v/>
      </c>
      <c r="H7" s="27"/>
      <c r="I7" s="27"/>
      <c r="J7" s="80" t="str">
        <f t="shared" si="2"/>
        <v/>
      </c>
      <c r="L7" s="32">
        <v>3</v>
      </c>
      <c r="M7" s="30" t="str">
        <f t="shared" si="3"/>
        <v/>
      </c>
      <c r="N7" s="45" t="str">
        <f t="shared" si="4"/>
        <v/>
      </c>
      <c r="O7" s="49" t="str">
        <f t="shared" si="5"/>
        <v/>
      </c>
      <c r="P7" s="49" t="str">
        <f t="shared" si="6"/>
        <v/>
      </c>
    </row>
    <row r="8" spans="1:16" x14ac:dyDescent="0.25">
      <c r="A8" s="31"/>
      <c r="B8" s="31"/>
      <c r="C8" s="27"/>
      <c r="D8" s="27"/>
      <c r="E8" s="27"/>
      <c r="F8" s="45" t="str">
        <f t="shared" si="0"/>
        <v/>
      </c>
      <c r="G8" s="79" t="str">
        <f t="shared" si="1"/>
        <v/>
      </c>
      <c r="H8" s="27"/>
      <c r="I8" s="27"/>
      <c r="J8" s="80" t="str">
        <f t="shared" si="2"/>
        <v/>
      </c>
      <c r="L8" s="32">
        <v>4</v>
      </c>
      <c r="M8" s="30" t="str">
        <f t="shared" si="3"/>
        <v/>
      </c>
      <c r="N8" s="45" t="str">
        <f t="shared" si="4"/>
        <v/>
      </c>
      <c r="O8" s="49" t="str">
        <f t="shared" si="5"/>
        <v/>
      </c>
      <c r="P8" s="49" t="str">
        <f t="shared" si="6"/>
        <v/>
      </c>
    </row>
    <row r="9" spans="1:16" x14ac:dyDescent="0.25">
      <c r="A9" s="31"/>
      <c r="B9" s="31"/>
      <c r="C9" s="27"/>
      <c r="D9" s="27"/>
      <c r="E9" s="27"/>
      <c r="F9" s="45" t="str">
        <f t="shared" si="0"/>
        <v/>
      </c>
      <c r="G9" s="79" t="str">
        <f t="shared" si="1"/>
        <v/>
      </c>
      <c r="H9" s="27"/>
      <c r="I9" s="27"/>
      <c r="J9" s="80" t="str">
        <f t="shared" si="2"/>
        <v/>
      </c>
      <c r="L9" s="32">
        <v>5</v>
      </c>
      <c r="M9" s="30" t="str">
        <f t="shared" si="3"/>
        <v/>
      </c>
      <c r="N9" s="45" t="str">
        <f t="shared" si="4"/>
        <v/>
      </c>
      <c r="O9" s="49" t="str">
        <f t="shared" si="5"/>
        <v/>
      </c>
      <c r="P9" s="49" t="str">
        <f t="shared" si="6"/>
        <v/>
      </c>
    </row>
    <row r="10" spans="1:16" x14ac:dyDescent="0.25">
      <c r="A10" s="31"/>
      <c r="B10" s="31"/>
      <c r="C10" s="27"/>
      <c r="D10" s="27"/>
      <c r="E10" s="27"/>
      <c r="F10" s="45" t="str">
        <f t="shared" si="0"/>
        <v/>
      </c>
      <c r="G10" s="79" t="str">
        <f t="shared" si="1"/>
        <v/>
      </c>
      <c r="H10" s="27"/>
      <c r="I10" s="27"/>
      <c r="J10" s="80" t="str">
        <f t="shared" si="2"/>
        <v/>
      </c>
      <c r="L10" s="32">
        <v>6</v>
      </c>
      <c r="M10" s="30" t="str">
        <f t="shared" si="3"/>
        <v/>
      </c>
      <c r="N10" s="45" t="str">
        <f t="shared" si="4"/>
        <v/>
      </c>
      <c r="O10" s="49" t="str">
        <f t="shared" si="5"/>
        <v/>
      </c>
      <c r="P10" s="49" t="str">
        <f t="shared" si="6"/>
        <v/>
      </c>
    </row>
    <row r="11" spans="1:16" x14ac:dyDescent="0.25">
      <c r="A11" s="31"/>
      <c r="B11" s="31"/>
      <c r="C11" s="27"/>
      <c r="D11" s="27"/>
      <c r="E11" s="27"/>
      <c r="F11" s="45" t="str">
        <f t="shared" si="0"/>
        <v/>
      </c>
      <c r="G11" s="79" t="str">
        <f t="shared" si="1"/>
        <v/>
      </c>
      <c r="H11" s="27"/>
      <c r="I11" s="27"/>
      <c r="J11" s="80" t="str">
        <f t="shared" si="2"/>
        <v/>
      </c>
      <c r="L11" s="32">
        <v>7</v>
      </c>
      <c r="M11" s="30" t="str">
        <f t="shared" si="3"/>
        <v/>
      </c>
      <c r="N11" s="45" t="str">
        <f t="shared" si="4"/>
        <v/>
      </c>
      <c r="O11" s="49" t="str">
        <f t="shared" si="5"/>
        <v/>
      </c>
      <c r="P11" s="49" t="str">
        <f t="shared" si="6"/>
        <v/>
      </c>
    </row>
    <row r="12" spans="1:16" x14ac:dyDescent="0.25">
      <c r="A12" s="31"/>
      <c r="B12" s="31"/>
      <c r="C12" s="27"/>
      <c r="D12" s="27"/>
      <c r="E12" s="27"/>
      <c r="F12" s="45" t="str">
        <f t="shared" si="0"/>
        <v/>
      </c>
      <c r="G12" s="79" t="str">
        <f t="shared" si="1"/>
        <v/>
      </c>
      <c r="H12" s="27"/>
      <c r="I12" s="27"/>
      <c r="J12" s="80" t="str">
        <f t="shared" si="2"/>
        <v/>
      </c>
      <c r="L12" s="32">
        <v>8</v>
      </c>
      <c r="M12" s="30" t="str">
        <f t="shared" si="3"/>
        <v/>
      </c>
      <c r="N12" s="45" t="str">
        <f t="shared" si="4"/>
        <v/>
      </c>
      <c r="O12" s="49" t="str">
        <f t="shared" si="5"/>
        <v/>
      </c>
      <c r="P12" s="49" t="str">
        <f t="shared" si="6"/>
        <v/>
      </c>
    </row>
    <row r="13" spans="1:16" x14ac:dyDescent="0.25">
      <c r="A13" s="31"/>
      <c r="B13" s="31"/>
      <c r="C13" s="27"/>
      <c r="D13" s="27"/>
      <c r="E13" s="27"/>
      <c r="F13" s="45" t="str">
        <f t="shared" si="0"/>
        <v/>
      </c>
      <c r="G13" s="79" t="str">
        <f t="shared" si="1"/>
        <v/>
      </c>
      <c r="H13" s="27"/>
      <c r="I13" s="27"/>
      <c r="J13" s="80" t="str">
        <f t="shared" si="2"/>
        <v/>
      </c>
      <c r="L13" s="32">
        <v>9</v>
      </c>
      <c r="M13" s="30" t="str">
        <f t="shared" si="3"/>
        <v/>
      </c>
      <c r="N13" s="45" t="str">
        <f t="shared" si="4"/>
        <v/>
      </c>
      <c r="O13" s="49" t="str">
        <f t="shared" si="5"/>
        <v/>
      </c>
      <c r="P13" s="49" t="str">
        <f t="shared" si="6"/>
        <v/>
      </c>
    </row>
    <row r="14" spans="1:16" x14ac:dyDescent="0.25">
      <c r="A14" s="31"/>
      <c r="B14" s="31"/>
      <c r="C14" s="27"/>
      <c r="D14" s="27"/>
      <c r="E14" s="27"/>
      <c r="F14" s="45" t="str">
        <f t="shared" si="0"/>
        <v/>
      </c>
      <c r="G14" s="79" t="str">
        <f t="shared" si="1"/>
        <v/>
      </c>
      <c r="H14" s="27"/>
      <c r="I14" s="27"/>
      <c r="J14" s="80" t="str">
        <f t="shared" si="2"/>
        <v/>
      </c>
      <c r="L14" s="32">
        <v>10</v>
      </c>
      <c r="M14" s="30" t="str">
        <f t="shared" si="3"/>
        <v/>
      </c>
      <c r="N14" s="45" t="str">
        <f t="shared" si="4"/>
        <v/>
      </c>
      <c r="O14" s="49" t="str">
        <f t="shared" si="5"/>
        <v/>
      </c>
      <c r="P14" s="49" t="str">
        <f t="shared" si="6"/>
        <v/>
      </c>
    </row>
    <row r="15" spans="1:16" x14ac:dyDescent="0.25">
      <c r="A15" s="31"/>
      <c r="B15" s="31"/>
      <c r="C15" s="27"/>
      <c r="D15" s="27"/>
      <c r="E15" s="27"/>
      <c r="F15" s="45" t="str">
        <f t="shared" si="0"/>
        <v/>
      </c>
      <c r="G15" s="79" t="str">
        <f t="shared" si="1"/>
        <v/>
      </c>
      <c r="H15" s="27"/>
      <c r="I15" s="27"/>
      <c r="J15" s="80" t="str">
        <f t="shared" si="2"/>
        <v/>
      </c>
      <c r="L15" s="32">
        <v>11</v>
      </c>
      <c r="M15" s="30" t="str">
        <f t="shared" si="3"/>
        <v/>
      </c>
      <c r="N15" s="45" t="str">
        <f t="shared" si="4"/>
        <v/>
      </c>
      <c r="O15" s="49" t="str">
        <f t="shared" si="5"/>
        <v/>
      </c>
      <c r="P15" s="49" t="str">
        <f t="shared" si="6"/>
        <v/>
      </c>
    </row>
    <row r="16" spans="1:16" x14ac:dyDescent="0.25">
      <c r="A16" s="31"/>
      <c r="B16" s="31"/>
      <c r="C16" s="27"/>
      <c r="D16" s="27"/>
      <c r="E16" s="27"/>
      <c r="F16" s="45" t="str">
        <f t="shared" si="0"/>
        <v/>
      </c>
      <c r="G16" s="79" t="str">
        <f t="shared" si="1"/>
        <v/>
      </c>
      <c r="H16" s="27"/>
      <c r="I16" s="27"/>
      <c r="J16" s="80" t="str">
        <f t="shared" si="2"/>
        <v/>
      </c>
      <c r="L16" s="32">
        <v>12</v>
      </c>
      <c r="M16" s="30" t="str">
        <f t="shared" si="3"/>
        <v/>
      </c>
      <c r="N16" s="45" t="str">
        <f t="shared" si="4"/>
        <v/>
      </c>
      <c r="O16" s="49" t="str">
        <f t="shared" si="5"/>
        <v/>
      </c>
      <c r="P16" s="49" t="str">
        <f t="shared" si="6"/>
        <v/>
      </c>
    </row>
    <row r="17" spans="1:16" x14ac:dyDescent="0.25">
      <c r="A17" s="31"/>
      <c r="B17" s="31"/>
      <c r="C17" s="27"/>
      <c r="D17" s="27"/>
      <c r="E17" s="27"/>
      <c r="F17" s="45" t="str">
        <f t="shared" si="0"/>
        <v/>
      </c>
      <c r="G17" s="79" t="str">
        <f t="shared" si="1"/>
        <v/>
      </c>
      <c r="H17" s="27"/>
      <c r="I17" s="27"/>
      <c r="J17" s="80" t="str">
        <f t="shared" si="2"/>
        <v/>
      </c>
      <c r="L17" s="32">
        <v>13</v>
      </c>
      <c r="M17" s="30" t="str">
        <f t="shared" si="3"/>
        <v/>
      </c>
      <c r="N17" s="45" t="str">
        <f t="shared" si="4"/>
        <v/>
      </c>
      <c r="O17" s="49" t="str">
        <f t="shared" si="5"/>
        <v/>
      </c>
      <c r="P17" s="49" t="str">
        <f t="shared" si="6"/>
        <v/>
      </c>
    </row>
    <row r="18" spans="1:16" x14ac:dyDescent="0.25">
      <c r="A18" s="31"/>
      <c r="B18" s="31"/>
      <c r="C18" s="27"/>
      <c r="D18" s="27"/>
      <c r="E18" s="27"/>
      <c r="F18" s="45" t="str">
        <f t="shared" si="0"/>
        <v/>
      </c>
      <c r="G18" s="79" t="str">
        <f t="shared" si="1"/>
        <v/>
      </c>
      <c r="H18" s="27"/>
      <c r="I18" s="27"/>
      <c r="J18" s="80" t="str">
        <f t="shared" si="2"/>
        <v/>
      </c>
      <c r="L18" s="32">
        <v>14</v>
      </c>
      <c r="M18" s="30" t="str">
        <f t="shared" si="3"/>
        <v/>
      </c>
      <c r="N18" s="45" t="str">
        <f t="shared" si="4"/>
        <v/>
      </c>
      <c r="O18" s="49" t="str">
        <f t="shared" si="5"/>
        <v/>
      </c>
      <c r="P18" s="49" t="str">
        <f t="shared" si="6"/>
        <v/>
      </c>
    </row>
    <row r="19" spans="1:16" x14ac:dyDescent="0.25">
      <c r="A19" s="31"/>
      <c r="B19" s="31"/>
      <c r="C19" s="27"/>
      <c r="D19" s="27"/>
      <c r="E19" s="27"/>
      <c r="F19" s="45" t="str">
        <f t="shared" si="0"/>
        <v/>
      </c>
      <c r="G19" s="79" t="str">
        <f t="shared" si="1"/>
        <v/>
      </c>
      <c r="H19" s="27"/>
      <c r="I19" s="27"/>
      <c r="J19" s="80" t="str">
        <f t="shared" si="2"/>
        <v/>
      </c>
      <c r="L19" s="32">
        <v>15</v>
      </c>
      <c r="M19" s="30" t="str">
        <f t="shared" si="3"/>
        <v/>
      </c>
      <c r="N19" s="45" t="str">
        <f t="shared" si="4"/>
        <v/>
      </c>
      <c r="O19" s="49" t="str">
        <f t="shared" si="5"/>
        <v/>
      </c>
      <c r="P19" s="49" t="str">
        <f t="shared" si="6"/>
        <v/>
      </c>
    </row>
    <row r="20" spans="1:16" x14ac:dyDescent="0.25">
      <c r="A20" s="33" t="s">
        <v>294</v>
      </c>
      <c r="B20" s="33" t="str">
        <f>COUNTA(A5:A19)&amp;" RSM"</f>
        <v>2 RSM</v>
      </c>
      <c r="C20" s="34">
        <f>SUM(C5:C19)</f>
        <v>58411</v>
      </c>
      <c r="D20" s="34">
        <f>SUM(D5:D19)</f>
        <v>69430</v>
      </c>
      <c r="E20" s="34">
        <f>SUM(E5:E19)</f>
        <v>45368</v>
      </c>
      <c r="F20" s="48">
        <f>IF(E20=0,0,D20/E20)</f>
        <v>1.530373831775701</v>
      </c>
      <c r="G20" s="33" t="str">
        <f>IF(F20&gt;=1,"Verde",IF(F20&gt;=0.7,"Ámbar","Rojo"))</f>
        <v>Verde</v>
      </c>
      <c r="H20" s="34">
        <f>SUM(H5:H19)</f>
        <v>6066</v>
      </c>
      <c r="I20" s="34">
        <f>SUM(I5:I19)</f>
        <v>0</v>
      </c>
    </row>
    <row r="22" spans="1:16" x14ac:dyDescent="0.25">
      <c r="A22" s="26" t="s">
        <v>295</v>
      </c>
    </row>
    <row r="23" spans="1:16" x14ac:dyDescent="0.25">
      <c r="A23" s="30" t="s">
        <v>296</v>
      </c>
      <c r="B23" s="32">
        <f>COUNTIF(F5:F19,"&gt;=1")</f>
        <v>2</v>
      </c>
    </row>
    <row r="24" spans="1:16" x14ac:dyDescent="0.25">
      <c r="A24" s="30" t="s">
        <v>297</v>
      </c>
      <c r="B24" s="32">
        <f>COUNTIFS(F5:F19,"&lt;0.7",A5:A19,"&lt;&gt;")</f>
        <v>0</v>
      </c>
    </row>
    <row r="25" spans="1:16" x14ac:dyDescent="0.25">
      <c r="A25" s="30" t="s">
        <v>229</v>
      </c>
      <c r="B25" s="49">
        <f>D20-E20</f>
        <v>24062</v>
      </c>
    </row>
    <row r="26" spans="1:16" x14ac:dyDescent="0.25">
      <c r="A26" s="30" t="s">
        <v>251</v>
      </c>
      <c r="B26" s="49">
        <f>H20+I20</f>
        <v>6066</v>
      </c>
    </row>
    <row r="27" spans="1:16" x14ac:dyDescent="0.25">
      <c r="A27" s="30" t="s">
        <v>237</v>
      </c>
      <c r="B27" s="29">
        <f>IFERROR(C20/D20,"")</f>
        <v>0.84129338902491724</v>
      </c>
    </row>
  </sheetData>
  <conditionalFormatting sqref="F5:F20">
    <cfRule type="cellIs" dxfId="10" priority="2" operator="greaterThanOrEqual">
      <formula>1</formula>
    </cfRule>
    <cfRule type="cellIs" dxfId="9" priority="3" operator="between">
      <formula>0.7</formula>
      <formula>0.9999</formula>
    </cfRule>
    <cfRule type="cellIs" dxfId="8" priority="4" operator="lessThan">
      <formula>0.7</formula>
    </cfRule>
  </conditionalFormatting>
  <conditionalFormatting sqref="N5:N19">
    <cfRule type="cellIs" dxfId="7" priority="5" operator="greaterThanOrEqual">
      <formula>1</formula>
    </cfRule>
    <cfRule type="cellIs" dxfId="6" priority="6" operator="between">
      <formula>0.7</formula>
      <formula>0.9999</formula>
    </cfRule>
    <cfRule type="cellIs" dxfId="5" priority="7" operator="lessThan">
      <formula>0.7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61530"/>
  </sheetPr>
  <dimension ref="A1:C20"/>
  <sheetViews>
    <sheetView showGridLines="0" zoomScaleNormal="100" workbookViewId="0">
      <selection activeCell="B13" sqref="B13"/>
    </sheetView>
  </sheetViews>
  <sheetFormatPr baseColWidth="10" defaultColWidth="8.7109375" defaultRowHeight="15" x14ac:dyDescent="0.25"/>
  <cols>
    <col min="1" max="1" width="40" customWidth="1"/>
    <col min="2" max="2" width="70" customWidth="1"/>
    <col min="3" max="3" width="60" customWidth="1"/>
  </cols>
  <sheetData>
    <row r="1" spans="1:3" ht="18" customHeight="1" x14ac:dyDescent="0.25">
      <c r="A1" s="2" t="s">
        <v>347</v>
      </c>
    </row>
    <row r="2" spans="1:3" x14ac:dyDescent="0.25">
      <c r="A2" s="24" t="s">
        <v>348</v>
      </c>
    </row>
    <row r="4" spans="1:3" ht="30" customHeight="1" x14ac:dyDescent="0.25">
      <c r="A4" s="25" t="s">
        <v>349</v>
      </c>
      <c r="B4" s="25" t="s">
        <v>350</v>
      </c>
      <c r="C4" s="25" t="s">
        <v>351</v>
      </c>
    </row>
    <row r="5" spans="1:3" x14ac:dyDescent="0.25">
      <c r="A5" s="26" t="s">
        <v>352</v>
      </c>
      <c r="B5" s="27">
        <v>218</v>
      </c>
      <c r="C5" s="30" t="s">
        <v>353</v>
      </c>
    </row>
    <row r="6" spans="1:3" x14ac:dyDescent="0.25">
      <c r="A6" s="26" t="s">
        <v>354</v>
      </c>
      <c r="B6" s="27">
        <v>26</v>
      </c>
      <c r="C6" s="30" t="s">
        <v>355</v>
      </c>
    </row>
    <row r="7" spans="1:3" x14ac:dyDescent="0.25">
      <c r="A7" s="26" t="s">
        <v>356</v>
      </c>
      <c r="B7" s="27">
        <v>7400</v>
      </c>
      <c r="C7" s="30" t="s">
        <v>36</v>
      </c>
    </row>
    <row r="8" spans="1:3" x14ac:dyDescent="0.25">
      <c r="A8" s="26" t="s">
        <v>357</v>
      </c>
      <c r="B8" s="27">
        <v>197235</v>
      </c>
      <c r="C8" s="30" t="s">
        <v>199</v>
      </c>
    </row>
    <row r="9" spans="1:3" x14ac:dyDescent="0.25">
      <c r="A9" s="26" t="s">
        <v>358</v>
      </c>
      <c r="B9" s="27">
        <v>122</v>
      </c>
      <c r="C9" s="30" t="s">
        <v>359</v>
      </c>
    </row>
    <row r="10" spans="1:3" x14ac:dyDescent="0.25">
      <c r="A10" s="26" t="s">
        <v>360</v>
      </c>
      <c r="B10" s="27">
        <v>2</v>
      </c>
      <c r="C10" s="30" t="s">
        <v>361</v>
      </c>
    </row>
    <row r="11" spans="1:3" x14ac:dyDescent="0.25">
      <c r="A11" s="26" t="s">
        <v>362</v>
      </c>
      <c r="B11" s="27">
        <v>163801</v>
      </c>
      <c r="C11" s="30" t="s">
        <v>36</v>
      </c>
    </row>
    <row r="12" spans="1:3" x14ac:dyDescent="0.25">
      <c r="A12" s="26" t="s">
        <v>363</v>
      </c>
      <c r="B12" s="27">
        <v>49626</v>
      </c>
      <c r="C12" s="30" t="s">
        <v>36</v>
      </c>
    </row>
    <row r="13" spans="1:3" x14ac:dyDescent="0.25">
      <c r="A13" s="26" t="s">
        <v>364</v>
      </c>
      <c r="B13" s="58">
        <f>IFERROR(B8/B6,0)</f>
        <v>7585.9615384615381</v>
      </c>
    </row>
    <row r="14" spans="1:3" x14ac:dyDescent="0.25">
      <c r="A14" s="26" t="s">
        <v>365</v>
      </c>
      <c r="B14" s="49">
        <f>B11+B12</f>
        <v>213427</v>
      </c>
    </row>
    <row r="16" spans="1:3" ht="30" customHeight="1" x14ac:dyDescent="0.25">
      <c r="A16" s="25" t="s">
        <v>366</v>
      </c>
      <c r="B16" s="25" t="s">
        <v>367</v>
      </c>
      <c r="C16" s="25" t="s">
        <v>368</v>
      </c>
    </row>
    <row r="17" spans="1:3" x14ac:dyDescent="0.25">
      <c r="A17" s="31" t="s">
        <v>369</v>
      </c>
      <c r="B17" s="31" t="s">
        <v>370</v>
      </c>
      <c r="C17" s="31" t="s">
        <v>371</v>
      </c>
    </row>
    <row r="18" spans="1:3" x14ac:dyDescent="0.25">
      <c r="A18" s="31" t="s">
        <v>372</v>
      </c>
      <c r="B18" s="31" t="s">
        <v>373</v>
      </c>
      <c r="C18" s="31" t="s">
        <v>374</v>
      </c>
    </row>
    <row r="19" spans="1:3" x14ac:dyDescent="0.25">
      <c r="A19" s="31" t="s">
        <v>375</v>
      </c>
      <c r="B19" s="31" t="s">
        <v>376</v>
      </c>
      <c r="C19" s="31" t="s">
        <v>377</v>
      </c>
    </row>
    <row r="20" spans="1:3" x14ac:dyDescent="0.25">
      <c r="A20" s="31" t="s">
        <v>378</v>
      </c>
      <c r="B20" s="31" t="s">
        <v>379</v>
      </c>
      <c r="C20" s="31" t="s">
        <v>380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EDB6"/>
  </sheetPr>
  <dimension ref="A1:P67"/>
  <sheetViews>
    <sheetView showGridLines="0" zoomScaleNormal="100" workbookViewId="0">
      <selection activeCell="E14" sqref="E14"/>
    </sheetView>
  </sheetViews>
  <sheetFormatPr baseColWidth="10" defaultColWidth="8.7109375" defaultRowHeight="15" x14ac:dyDescent="0.25"/>
  <cols>
    <col min="1" max="1" width="13" customWidth="1"/>
    <col min="2" max="3" width="28" customWidth="1"/>
    <col min="4" max="4" width="22" customWidth="1"/>
    <col min="5" max="5" width="12" customWidth="1"/>
    <col min="6" max="6" width="32" customWidth="1"/>
    <col min="7" max="7" width="11" customWidth="1"/>
    <col min="8" max="9" width="14" customWidth="1"/>
    <col min="10" max="10" width="9" customWidth="1"/>
    <col min="11" max="11" width="13" customWidth="1"/>
    <col min="12" max="12" width="15" customWidth="1"/>
    <col min="13" max="13" width="14.28515625" customWidth="1"/>
    <col min="14" max="14" width="11" customWidth="1"/>
    <col min="15" max="15" width="11" style="81" customWidth="1"/>
    <col min="16" max="16" width="11" customWidth="1"/>
  </cols>
  <sheetData>
    <row r="1" spans="1:16" ht="18" customHeight="1" x14ac:dyDescent="0.25">
      <c r="A1" s="2" t="s">
        <v>381</v>
      </c>
    </row>
    <row r="2" spans="1:16" x14ac:dyDescent="0.25">
      <c r="A2" s="24" t="s">
        <v>382</v>
      </c>
    </row>
    <row r="4" spans="1:16" x14ac:dyDescent="0.25">
      <c r="A4" s="26" t="s">
        <v>383</v>
      </c>
      <c r="C4" s="31" t="s">
        <v>199</v>
      </c>
    </row>
    <row r="6" spans="1:16" ht="30" customHeight="1" x14ac:dyDescent="0.25">
      <c r="A6" s="25" t="s">
        <v>384</v>
      </c>
      <c r="B6" s="25" t="s">
        <v>195</v>
      </c>
      <c r="C6" s="25" t="s">
        <v>83</v>
      </c>
      <c r="D6" s="25" t="s">
        <v>33</v>
      </c>
      <c r="E6" s="25" t="s">
        <v>196</v>
      </c>
      <c r="F6" s="25" t="s">
        <v>385</v>
      </c>
      <c r="G6" s="25" t="s">
        <v>36</v>
      </c>
      <c r="H6" s="25" t="s">
        <v>199</v>
      </c>
      <c r="I6" s="25" t="s">
        <v>165</v>
      </c>
      <c r="J6" s="25" t="s">
        <v>200</v>
      </c>
      <c r="K6" s="25" t="s">
        <v>386</v>
      </c>
      <c r="L6" s="25" t="s">
        <v>387</v>
      </c>
      <c r="M6" s="25" t="s">
        <v>388</v>
      </c>
      <c r="N6" s="25" t="s">
        <v>389</v>
      </c>
      <c r="O6" s="25" t="s">
        <v>390</v>
      </c>
      <c r="P6" s="25" t="s">
        <v>391</v>
      </c>
    </row>
    <row r="7" spans="1:16" x14ac:dyDescent="0.25">
      <c r="A7" s="31" t="s">
        <v>68</v>
      </c>
      <c r="B7" s="31" t="s">
        <v>392</v>
      </c>
      <c r="C7" s="31" t="s">
        <v>393</v>
      </c>
      <c r="D7" s="31" t="s">
        <v>394</v>
      </c>
      <c r="E7" s="31" t="s">
        <v>79</v>
      </c>
      <c r="F7" s="31" t="s">
        <v>395</v>
      </c>
      <c r="G7" s="27">
        <v>100000</v>
      </c>
      <c r="H7" s="36">
        <v>2787794</v>
      </c>
      <c r="I7" s="31" t="s">
        <v>396</v>
      </c>
      <c r="J7" s="82">
        <v>0.75</v>
      </c>
      <c r="K7" s="83" t="s">
        <v>397</v>
      </c>
      <c r="L7" s="58">
        <f t="shared" ref="L7:L39" si="0">IF(J7="","",H7*J7)</f>
        <v>2090845.5</v>
      </c>
      <c r="M7" s="84">
        <f t="shared" ref="M7:M39" si="1">IF(AND(A7="Industrial",I7&lt;&gt;"Closed Won",B7&lt;&gt;"Others"),IF($C$4="m2",G7,H7)+(1000-ROW())/1000000,"")</f>
        <v>2787794.0009929999</v>
      </c>
      <c r="N7" s="85" t="str">
        <f t="shared" ref="N7:N39" si="2">IF(AND(A7="Distribución",I7&lt;&gt;"Closed Won",B7&lt;&gt;"Others"),IF($C$4="m2",G7,H7)+(1000-ROW())/1000000,"")</f>
        <v/>
      </c>
      <c r="O7" s="85">
        <f t="shared" ref="O7:O39" si="3">IF(AND(A7="Industrial",B7&lt;&gt;"Others"),G7+(1000-ROW())/1000000,"")</f>
        <v>100000.00099299999</v>
      </c>
      <c r="P7" s="85" t="str">
        <f t="shared" ref="P7:P39" si="4">IF(AND(A7="Distribución",B7&lt;&gt;"Others"),G7+(1000-ROW())/1000000,"")</f>
        <v/>
      </c>
    </row>
    <row r="8" spans="1:16" x14ac:dyDescent="0.25">
      <c r="A8" s="31" t="s">
        <v>68</v>
      </c>
      <c r="B8" s="31" t="s">
        <v>398</v>
      </c>
      <c r="C8" s="31" t="s">
        <v>399</v>
      </c>
      <c r="D8" s="31" t="s">
        <v>400</v>
      </c>
      <c r="E8" s="31" t="s">
        <v>71</v>
      </c>
      <c r="F8" s="31" t="s">
        <v>401</v>
      </c>
      <c r="G8" s="27">
        <v>61000</v>
      </c>
      <c r="H8" s="36">
        <v>1700505</v>
      </c>
      <c r="I8" s="31" t="s">
        <v>402</v>
      </c>
      <c r="J8" s="82">
        <v>0.8</v>
      </c>
      <c r="K8" s="83" t="s">
        <v>397</v>
      </c>
      <c r="L8" s="58">
        <f t="shared" si="0"/>
        <v>1360404</v>
      </c>
      <c r="M8" s="84">
        <f t="shared" si="1"/>
        <v>1700505.0009920001</v>
      </c>
      <c r="N8" s="85" t="str">
        <f t="shared" si="2"/>
        <v/>
      </c>
      <c r="O8" s="85">
        <f t="shared" si="3"/>
        <v>61000.000992000001</v>
      </c>
      <c r="P8" s="85" t="str">
        <f t="shared" si="4"/>
        <v/>
      </c>
    </row>
    <row r="9" spans="1:16" x14ac:dyDescent="0.25">
      <c r="A9" s="31" t="s">
        <v>68</v>
      </c>
      <c r="B9" s="31" t="s">
        <v>403</v>
      </c>
      <c r="C9" s="31" t="s">
        <v>404</v>
      </c>
      <c r="D9" s="31" t="s">
        <v>394</v>
      </c>
      <c r="E9" s="31" t="s">
        <v>79</v>
      </c>
      <c r="F9" s="31" t="s">
        <v>405</v>
      </c>
      <c r="G9" s="27">
        <v>50000</v>
      </c>
      <c r="H9" s="36">
        <v>1200000</v>
      </c>
      <c r="I9" s="31" t="s">
        <v>402</v>
      </c>
      <c r="J9" s="82">
        <v>0.6</v>
      </c>
      <c r="K9" s="83" t="s">
        <v>406</v>
      </c>
      <c r="L9" s="58">
        <f t="shared" si="0"/>
        <v>720000</v>
      </c>
      <c r="M9" s="84">
        <f t="shared" si="1"/>
        <v>1200000.0009910001</v>
      </c>
      <c r="N9" s="85" t="str">
        <f t="shared" si="2"/>
        <v/>
      </c>
      <c r="O9" s="85">
        <f t="shared" si="3"/>
        <v>50000.000991000001</v>
      </c>
      <c r="P9" s="85" t="str">
        <f t="shared" si="4"/>
        <v/>
      </c>
    </row>
    <row r="10" spans="1:16" x14ac:dyDescent="0.25">
      <c r="A10" s="31" t="s">
        <v>68</v>
      </c>
      <c r="B10" s="31" t="s">
        <v>407</v>
      </c>
      <c r="C10" s="31" t="s">
        <v>408</v>
      </c>
      <c r="D10" s="31" t="s">
        <v>409</v>
      </c>
      <c r="E10" s="31" t="s">
        <v>410</v>
      </c>
      <c r="F10" s="31" t="s">
        <v>411</v>
      </c>
      <c r="G10" s="27">
        <v>50000</v>
      </c>
      <c r="H10" s="36">
        <v>1550000</v>
      </c>
      <c r="I10" s="31" t="s">
        <v>402</v>
      </c>
      <c r="J10" s="82">
        <v>0.75</v>
      </c>
      <c r="K10" s="83" t="s">
        <v>397</v>
      </c>
      <c r="L10" s="58">
        <f t="shared" si="0"/>
        <v>1162500</v>
      </c>
      <c r="M10" s="84">
        <f t="shared" si="1"/>
        <v>1550000.0009900001</v>
      </c>
      <c r="N10" s="85" t="str">
        <f t="shared" si="2"/>
        <v/>
      </c>
      <c r="O10" s="85">
        <f t="shared" si="3"/>
        <v>50000.00099</v>
      </c>
      <c r="P10" s="85" t="str">
        <f t="shared" si="4"/>
        <v/>
      </c>
    </row>
    <row r="11" spans="1:16" x14ac:dyDescent="0.25">
      <c r="A11" s="31" t="s">
        <v>68</v>
      </c>
      <c r="B11" s="31" t="s">
        <v>412</v>
      </c>
      <c r="C11" s="31" t="s">
        <v>413</v>
      </c>
      <c r="D11" s="31" t="s">
        <v>414</v>
      </c>
      <c r="E11" s="31" t="s">
        <v>71</v>
      </c>
      <c r="F11" s="31" t="s">
        <v>415</v>
      </c>
      <c r="G11" s="27">
        <v>45000</v>
      </c>
      <c r="H11" s="36">
        <v>892114</v>
      </c>
      <c r="I11" s="31" t="s">
        <v>402</v>
      </c>
      <c r="J11" s="82"/>
      <c r="K11" s="83"/>
      <c r="L11" s="58" t="str">
        <f t="shared" si="0"/>
        <v/>
      </c>
      <c r="M11" s="84">
        <f t="shared" si="1"/>
        <v>892114.00098899996</v>
      </c>
      <c r="N11" s="85" t="str">
        <f t="shared" si="2"/>
        <v/>
      </c>
      <c r="O11" s="85">
        <f t="shared" si="3"/>
        <v>45000.000989</v>
      </c>
      <c r="P11" s="85" t="str">
        <f t="shared" si="4"/>
        <v/>
      </c>
    </row>
    <row r="12" spans="1:16" x14ac:dyDescent="0.25">
      <c r="A12" s="31" t="s">
        <v>68</v>
      </c>
      <c r="B12" s="31" t="s">
        <v>416</v>
      </c>
      <c r="C12" s="31" t="s">
        <v>417</v>
      </c>
      <c r="D12" s="31" t="s">
        <v>418</v>
      </c>
      <c r="E12" s="31" t="s">
        <v>419</v>
      </c>
      <c r="F12" s="31" t="s">
        <v>405</v>
      </c>
      <c r="G12" s="27">
        <v>38000</v>
      </c>
      <c r="H12" s="36">
        <v>890000</v>
      </c>
      <c r="I12" s="31" t="s">
        <v>402</v>
      </c>
      <c r="J12" s="82"/>
      <c r="K12" s="83"/>
      <c r="L12" s="58" t="str">
        <f t="shared" si="0"/>
        <v/>
      </c>
      <c r="M12" s="84">
        <f t="shared" si="1"/>
        <v>890000.00098799996</v>
      </c>
      <c r="N12" s="85" t="str">
        <f t="shared" si="2"/>
        <v/>
      </c>
      <c r="O12" s="85">
        <f t="shared" si="3"/>
        <v>38000.000988</v>
      </c>
      <c r="P12" s="85" t="str">
        <f t="shared" si="4"/>
        <v/>
      </c>
    </row>
    <row r="13" spans="1:16" x14ac:dyDescent="0.25">
      <c r="A13" s="31" t="s">
        <v>68</v>
      </c>
      <c r="B13" s="31" t="s">
        <v>420</v>
      </c>
      <c r="C13" s="31" t="s">
        <v>421</v>
      </c>
      <c r="D13" s="31" t="s">
        <v>422</v>
      </c>
      <c r="E13" s="31" t="s">
        <v>71</v>
      </c>
      <c r="F13" s="31" t="s">
        <v>411</v>
      </c>
      <c r="G13" s="27">
        <v>35000</v>
      </c>
      <c r="H13" s="36">
        <v>875000</v>
      </c>
      <c r="I13" s="31" t="s">
        <v>402</v>
      </c>
      <c r="J13" s="82"/>
      <c r="K13" s="83"/>
      <c r="L13" s="58" t="str">
        <f t="shared" si="0"/>
        <v/>
      </c>
      <c r="M13" s="84">
        <f t="shared" si="1"/>
        <v>875000.00098699995</v>
      </c>
      <c r="N13" s="85" t="str">
        <f t="shared" si="2"/>
        <v/>
      </c>
      <c r="O13" s="85">
        <f t="shared" si="3"/>
        <v>35000.000986999999</v>
      </c>
      <c r="P13" s="85" t="str">
        <f t="shared" si="4"/>
        <v/>
      </c>
    </row>
    <row r="14" spans="1:16" x14ac:dyDescent="0.25">
      <c r="A14" s="31" t="s">
        <v>68</v>
      </c>
      <c r="B14" s="31" t="s">
        <v>423</v>
      </c>
      <c r="C14" s="31" t="s">
        <v>424</v>
      </c>
      <c r="D14" s="31" t="s">
        <v>394</v>
      </c>
      <c r="E14" s="31" t="s">
        <v>425</v>
      </c>
      <c r="F14" s="31" t="s">
        <v>405</v>
      </c>
      <c r="G14" s="27">
        <v>30000</v>
      </c>
      <c r="H14" s="36">
        <v>900000</v>
      </c>
      <c r="I14" s="31" t="s">
        <v>402</v>
      </c>
      <c r="J14" s="82"/>
      <c r="K14" s="83"/>
      <c r="L14" s="58" t="str">
        <f t="shared" si="0"/>
        <v/>
      </c>
      <c r="M14" s="84">
        <f t="shared" si="1"/>
        <v>900000.00098600006</v>
      </c>
      <c r="N14" s="85" t="str">
        <f t="shared" si="2"/>
        <v/>
      </c>
      <c r="O14" s="85">
        <f t="shared" si="3"/>
        <v>30000.000985999999</v>
      </c>
      <c r="P14" s="85" t="str">
        <f t="shared" si="4"/>
        <v/>
      </c>
    </row>
    <row r="15" spans="1:16" x14ac:dyDescent="0.25">
      <c r="A15" s="31" t="s">
        <v>68</v>
      </c>
      <c r="B15" s="31" t="s">
        <v>398</v>
      </c>
      <c r="C15" s="31" t="s">
        <v>399</v>
      </c>
      <c r="D15" s="31" t="s">
        <v>400</v>
      </c>
      <c r="E15" s="31" t="s">
        <v>71</v>
      </c>
      <c r="F15" s="31" t="s">
        <v>401</v>
      </c>
      <c r="G15" s="27">
        <v>24000</v>
      </c>
      <c r="H15" s="36">
        <v>669120</v>
      </c>
      <c r="I15" s="31" t="s">
        <v>437</v>
      </c>
      <c r="J15" s="82"/>
      <c r="K15" s="83"/>
      <c r="L15" s="58" t="str">
        <f t="shared" si="0"/>
        <v/>
      </c>
      <c r="M15" s="84"/>
      <c r="N15" s="85"/>
      <c r="O15" s="85">
        <f t="shared" si="3"/>
        <v>24000.000984999999</v>
      </c>
      <c r="P15" s="85" t="str">
        <f t="shared" si="4"/>
        <v/>
      </c>
    </row>
    <row r="16" spans="1:16" ht="13.9" customHeight="1" x14ac:dyDescent="0.25">
      <c r="A16" s="31" t="s">
        <v>68</v>
      </c>
      <c r="B16" s="31" t="s">
        <v>426</v>
      </c>
      <c r="C16" s="31" t="s">
        <v>427</v>
      </c>
      <c r="D16" s="31" t="s">
        <v>428</v>
      </c>
      <c r="E16" s="31" t="s">
        <v>80</v>
      </c>
      <c r="F16" s="31" t="s">
        <v>429</v>
      </c>
      <c r="G16" s="27">
        <v>22000</v>
      </c>
      <c r="H16" s="36">
        <v>891749</v>
      </c>
      <c r="I16" s="31" t="s">
        <v>402</v>
      </c>
      <c r="J16" s="82"/>
      <c r="K16" s="83"/>
      <c r="L16" s="58" t="str">
        <f t="shared" si="0"/>
        <v/>
      </c>
      <c r="M16" s="84">
        <f t="shared" si="1"/>
        <v>891749.00098400004</v>
      </c>
      <c r="N16" s="85" t="str">
        <f t="shared" si="2"/>
        <v/>
      </c>
      <c r="O16" s="85">
        <f t="shared" si="3"/>
        <v>22000.000983999998</v>
      </c>
      <c r="P16" s="85" t="str">
        <f t="shared" si="4"/>
        <v/>
      </c>
    </row>
    <row r="17" spans="1:16" x14ac:dyDescent="0.25">
      <c r="A17" s="31" t="s">
        <v>68</v>
      </c>
      <c r="B17" s="31" t="s">
        <v>430</v>
      </c>
      <c r="C17" s="31" t="s">
        <v>427</v>
      </c>
      <c r="D17" s="31" t="s">
        <v>428</v>
      </c>
      <c r="E17" s="31" t="s">
        <v>80</v>
      </c>
      <c r="F17" s="31" t="s">
        <v>429</v>
      </c>
      <c r="G17" s="27">
        <v>20000</v>
      </c>
      <c r="H17" s="36">
        <v>577429</v>
      </c>
      <c r="I17" s="31" t="s">
        <v>402</v>
      </c>
      <c r="J17" s="82"/>
      <c r="K17" s="83"/>
      <c r="L17" s="58" t="str">
        <f t="shared" si="0"/>
        <v/>
      </c>
      <c r="M17" s="84">
        <f t="shared" si="1"/>
        <v>577429.00098300003</v>
      </c>
      <c r="N17" s="85" t="str">
        <f t="shared" si="2"/>
        <v/>
      </c>
      <c r="O17" s="85">
        <f t="shared" si="3"/>
        <v>20000.000983000002</v>
      </c>
      <c r="P17" s="85" t="str">
        <f t="shared" si="4"/>
        <v/>
      </c>
    </row>
    <row r="18" spans="1:16" x14ac:dyDescent="0.25">
      <c r="A18" s="31" t="s">
        <v>68</v>
      </c>
      <c r="B18" s="31" t="s">
        <v>431</v>
      </c>
      <c r="C18" s="31" t="s">
        <v>432</v>
      </c>
      <c r="D18" s="31" t="s">
        <v>418</v>
      </c>
      <c r="E18" s="31" t="s">
        <v>419</v>
      </c>
      <c r="F18" s="31" t="s">
        <v>395</v>
      </c>
      <c r="G18" s="27">
        <v>18000</v>
      </c>
      <c r="H18" s="36">
        <v>360000</v>
      </c>
      <c r="I18" s="31" t="s">
        <v>402</v>
      </c>
      <c r="J18" s="82"/>
      <c r="K18" s="83"/>
      <c r="L18" s="58" t="str">
        <f t="shared" si="0"/>
        <v/>
      </c>
      <c r="M18" s="84">
        <f t="shared" si="1"/>
        <v>360000.00098200003</v>
      </c>
      <c r="N18" s="85" t="str">
        <f t="shared" si="2"/>
        <v/>
      </c>
      <c r="O18" s="85">
        <f t="shared" si="3"/>
        <v>18000.000982000001</v>
      </c>
      <c r="P18" s="85" t="str">
        <f t="shared" si="4"/>
        <v/>
      </c>
    </row>
    <row r="19" spans="1:16" x14ac:dyDescent="0.25">
      <c r="A19" s="31" t="s">
        <v>68</v>
      </c>
      <c r="B19" s="31" t="s">
        <v>433</v>
      </c>
      <c r="C19" s="31" t="s">
        <v>434</v>
      </c>
      <c r="D19" s="31" t="s">
        <v>409</v>
      </c>
      <c r="E19" s="31" t="s">
        <v>435</v>
      </c>
      <c r="F19" s="31" t="s">
        <v>436</v>
      </c>
      <c r="G19" s="27">
        <v>16000</v>
      </c>
      <c r="H19" s="36">
        <v>550000</v>
      </c>
      <c r="I19" s="31" t="s">
        <v>437</v>
      </c>
      <c r="J19" s="82"/>
      <c r="K19" s="83"/>
      <c r="L19" s="58" t="str">
        <f t="shared" si="0"/>
        <v/>
      </c>
      <c r="M19" s="84" t="str">
        <f t="shared" si="1"/>
        <v/>
      </c>
      <c r="N19" s="85" t="str">
        <f t="shared" si="2"/>
        <v/>
      </c>
      <c r="O19" s="85">
        <f t="shared" si="3"/>
        <v>16000.000980999999</v>
      </c>
      <c r="P19" s="85" t="str">
        <f t="shared" si="4"/>
        <v/>
      </c>
    </row>
    <row r="20" spans="1:16" x14ac:dyDescent="0.25">
      <c r="A20" s="31" t="s">
        <v>68</v>
      </c>
      <c r="B20" s="31" t="s">
        <v>438</v>
      </c>
      <c r="C20" s="31" t="s">
        <v>439</v>
      </c>
      <c r="D20" s="31" t="s">
        <v>400</v>
      </c>
      <c r="E20" s="31" t="s">
        <v>71</v>
      </c>
      <c r="F20" s="31" t="s">
        <v>401</v>
      </c>
      <c r="G20" s="27">
        <v>13000</v>
      </c>
      <c r="H20" s="36">
        <v>481132</v>
      </c>
      <c r="I20" s="31" t="s">
        <v>402</v>
      </c>
      <c r="J20" s="82"/>
      <c r="K20" s="83"/>
      <c r="L20" s="58" t="str">
        <f t="shared" si="0"/>
        <v/>
      </c>
      <c r="M20" s="84">
        <f t="shared" si="1"/>
        <v>481132.00098000001</v>
      </c>
      <c r="N20" s="85" t="str">
        <f t="shared" si="2"/>
        <v/>
      </c>
      <c r="O20" s="85">
        <f t="shared" si="3"/>
        <v>13000.000980000001</v>
      </c>
      <c r="P20" s="85" t="str">
        <f t="shared" si="4"/>
        <v/>
      </c>
    </row>
    <row r="21" spans="1:16" x14ac:dyDescent="0.25">
      <c r="A21" s="31" t="s">
        <v>68</v>
      </c>
      <c r="B21" s="31" t="s">
        <v>440</v>
      </c>
      <c r="C21" s="31" t="s">
        <v>441</v>
      </c>
      <c r="D21" s="31" t="s">
        <v>414</v>
      </c>
      <c r="E21" s="31" t="s">
        <v>71</v>
      </c>
      <c r="F21" s="31" t="s">
        <v>442</v>
      </c>
      <c r="G21" s="27">
        <v>13000</v>
      </c>
      <c r="H21" s="36">
        <v>1203774</v>
      </c>
      <c r="I21" s="31" t="s">
        <v>402</v>
      </c>
      <c r="J21" s="82">
        <v>0.6</v>
      </c>
      <c r="K21" s="83" t="s">
        <v>406</v>
      </c>
      <c r="L21" s="58">
        <f t="shared" si="0"/>
        <v>722264.4</v>
      </c>
      <c r="M21" s="84">
        <f t="shared" si="1"/>
        <v>1203774.000979</v>
      </c>
      <c r="N21" s="85" t="str">
        <f t="shared" si="2"/>
        <v/>
      </c>
      <c r="O21" s="85">
        <f t="shared" si="3"/>
        <v>13000.000979</v>
      </c>
      <c r="P21" s="85" t="str">
        <f t="shared" si="4"/>
        <v/>
      </c>
    </row>
    <row r="22" spans="1:16" x14ac:dyDescent="0.25">
      <c r="A22" s="31" t="s">
        <v>68</v>
      </c>
      <c r="B22" s="31" t="s">
        <v>443</v>
      </c>
      <c r="C22" s="31" t="s">
        <v>443</v>
      </c>
      <c r="D22" s="31" t="s">
        <v>414</v>
      </c>
      <c r="E22" s="31" t="s">
        <v>71</v>
      </c>
      <c r="F22" s="31" t="s">
        <v>444</v>
      </c>
      <c r="G22" s="27">
        <v>12000</v>
      </c>
      <c r="H22" s="36">
        <v>408282</v>
      </c>
      <c r="I22" s="31" t="s">
        <v>402</v>
      </c>
      <c r="J22" s="82"/>
      <c r="K22" s="83"/>
      <c r="L22" s="58" t="str">
        <f t="shared" si="0"/>
        <v/>
      </c>
      <c r="M22" s="84">
        <f t="shared" si="1"/>
        <v>408282.000978</v>
      </c>
      <c r="N22" s="85" t="str">
        <f t="shared" si="2"/>
        <v/>
      </c>
      <c r="O22" s="85">
        <f t="shared" si="3"/>
        <v>12000.000978</v>
      </c>
      <c r="P22" s="85" t="str">
        <f t="shared" si="4"/>
        <v/>
      </c>
    </row>
    <row r="23" spans="1:16" x14ac:dyDescent="0.25">
      <c r="A23" s="31" t="s">
        <v>68</v>
      </c>
      <c r="B23" s="31" t="s">
        <v>445</v>
      </c>
      <c r="C23" s="31" t="s">
        <v>446</v>
      </c>
      <c r="D23" s="31" t="s">
        <v>422</v>
      </c>
      <c r="E23" s="31" t="s">
        <v>71</v>
      </c>
      <c r="F23" s="31" t="s">
        <v>447</v>
      </c>
      <c r="G23" s="27">
        <v>12000</v>
      </c>
      <c r="H23" s="36">
        <v>617547</v>
      </c>
      <c r="I23" s="31" t="s">
        <v>402</v>
      </c>
      <c r="J23" s="82"/>
      <c r="K23" s="83"/>
      <c r="L23" s="58" t="str">
        <f t="shared" si="0"/>
        <v/>
      </c>
      <c r="M23" s="84">
        <f t="shared" si="1"/>
        <v>617547.00097699999</v>
      </c>
      <c r="N23" s="85" t="str">
        <f t="shared" si="2"/>
        <v/>
      </c>
      <c r="O23" s="85">
        <f t="shared" si="3"/>
        <v>12000.000977</v>
      </c>
      <c r="P23" s="85" t="str">
        <f t="shared" si="4"/>
        <v/>
      </c>
    </row>
    <row r="24" spans="1:16" x14ac:dyDescent="0.25">
      <c r="A24" s="31" t="s">
        <v>68</v>
      </c>
      <c r="B24" s="31" t="s">
        <v>448</v>
      </c>
      <c r="C24" s="31" t="s">
        <v>449</v>
      </c>
      <c r="D24" s="31" t="s">
        <v>394</v>
      </c>
      <c r="E24" s="31" t="s">
        <v>79</v>
      </c>
      <c r="F24" s="31" t="s">
        <v>401</v>
      </c>
      <c r="G24" s="27">
        <v>11500</v>
      </c>
      <c r="H24" s="36">
        <v>310000</v>
      </c>
      <c r="I24" s="31" t="s">
        <v>437</v>
      </c>
      <c r="J24" s="82"/>
      <c r="K24" s="83"/>
      <c r="L24" s="58" t="str">
        <f t="shared" si="0"/>
        <v/>
      </c>
      <c r="M24" s="84" t="str">
        <f t="shared" si="1"/>
        <v/>
      </c>
      <c r="N24" s="85" t="str">
        <f t="shared" si="2"/>
        <v/>
      </c>
      <c r="O24" s="85">
        <f t="shared" si="3"/>
        <v>11500.000975999999</v>
      </c>
      <c r="P24" s="85" t="str">
        <f t="shared" si="4"/>
        <v/>
      </c>
    </row>
    <row r="25" spans="1:16" x14ac:dyDescent="0.25">
      <c r="A25" s="31" t="s">
        <v>68</v>
      </c>
      <c r="B25" s="31" t="s">
        <v>450</v>
      </c>
      <c r="C25" s="31" t="s">
        <v>451</v>
      </c>
      <c r="D25" s="31" t="s">
        <v>409</v>
      </c>
      <c r="E25" s="31" t="s">
        <v>410</v>
      </c>
      <c r="F25" s="31" t="s">
        <v>405</v>
      </c>
      <c r="G25" s="27">
        <v>11000</v>
      </c>
      <c r="H25" s="36">
        <v>307000</v>
      </c>
      <c r="I25" s="31" t="s">
        <v>437</v>
      </c>
      <c r="J25" s="82"/>
      <c r="K25" s="83"/>
      <c r="L25" s="58" t="str">
        <f t="shared" si="0"/>
        <v/>
      </c>
      <c r="M25" s="84" t="str">
        <f t="shared" si="1"/>
        <v/>
      </c>
      <c r="N25" s="85" t="str">
        <f t="shared" si="2"/>
        <v/>
      </c>
      <c r="O25" s="85">
        <f t="shared" si="3"/>
        <v>11000.000975000001</v>
      </c>
      <c r="P25" s="85" t="str">
        <f t="shared" si="4"/>
        <v/>
      </c>
    </row>
    <row r="26" spans="1:16" x14ac:dyDescent="0.25">
      <c r="A26" s="31" t="s">
        <v>68</v>
      </c>
      <c r="B26" s="31" t="s">
        <v>452</v>
      </c>
      <c r="C26" s="31" t="s">
        <v>453</v>
      </c>
      <c r="D26" s="31" t="s">
        <v>400</v>
      </c>
      <c r="E26" s="31" t="s">
        <v>71</v>
      </c>
      <c r="F26" s="31" t="s">
        <v>454</v>
      </c>
      <c r="G26" s="27">
        <v>10289</v>
      </c>
      <c r="H26" s="36">
        <v>1600000</v>
      </c>
      <c r="I26" s="31" t="s">
        <v>402</v>
      </c>
      <c r="J26" s="82"/>
      <c r="K26" s="83"/>
      <c r="L26" s="58" t="str">
        <f t="shared" si="0"/>
        <v/>
      </c>
      <c r="M26" s="84">
        <f t="shared" si="1"/>
        <v>1600000.000974</v>
      </c>
      <c r="N26" s="85" t="str">
        <f t="shared" si="2"/>
        <v/>
      </c>
      <c r="O26" s="85">
        <f t="shared" si="3"/>
        <v>10289.000974</v>
      </c>
      <c r="P26" s="85" t="str">
        <f t="shared" si="4"/>
        <v/>
      </c>
    </row>
    <row r="27" spans="1:16" x14ac:dyDescent="0.25">
      <c r="A27" s="31" t="s">
        <v>68</v>
      </c>
      <c r="B27" s="31" t="s">
        <v>455</v>
      </c>
      <c r="C27" s="31" t="s">
        <v>456</v>
      </c>
      <c r="D27" s="31" t="s">
        <v>418</v>
      </c>
      <c r="E27" s="31" t="s">
        <v>419</v>
      </c>
      <c r="F27" s="31" t="s">
        <v>429</v>
      </c>
      <c r="G27" s="27">
        <v>8000</v>
      </c>
      <c r="H27" s="36">
        <v>290000</v>
      </c>
      <c r="I27" s="31" t="s">
        <v>402</v>
      </c>
      <c r="J27" s="82"/>
      <c r="K27" s="83"/>
      <c r="L27" s="58" t="str">
        <f t="shared" si="0"/>
        <v/>
      </c>
      <c r="M27" s="84">
        <f t="shared" si="1"/>
        <v>290000.00097300002</v>
      </c>
      <c r="N27" s="85" t="str">
        <f t="shared" si="2"/>
        <v/>
      </c>
      <c r="O27" s="85">
        <f t="shared" si="3"/>
        <v>8000.0009730000002</v>
      </c>
      <c r="P27" s="85" t="str">
        <f t="shared" si="4"/>
        <v/>
      </c>
    </row>
    <row r="28" spans="1:16" x14ac:dyDescent="0.25">
      <c r="A28" s="31" t="s">
        <v>68</v>
      </c>
      <c r="B28" s="31" t="s">
        <v>457</v>
      </c>
      <c r="C28" s="31" t="s">
        <v>458</v>
      </c>
      <c r="D28" s="31" t="s">
        <v>400</v>
      </c>
      <c r="E28" s="31" t="s">
        <v>71</v>
      </c>
      <c r="F28" s="31" t="s">
        <v>401</v>
      </c>
      <c r="G28" s="27">
        <v>6000</v>
      </c>
      <c r="H28" s="36">
        <v>94118</v>
      </c>
      <c r="I28" s="31" t="s">
        <v>402</v>
      </c>
      <c r="J28" s="82"/>
      <c r="K28" s="83"/>
      <c r="L28" s="58" t="str">
        <f t="shared" si="0"/>
        <v/>
      </c>
      <c r="M28" s="84">
        <f t="shared" si="1"/>
        <v>94118.000971999994</v>
      </c>
      <c r="N28" s="85" t="str">
        <f t="shared" si="2"/>
        <v/>
      </c>
      <c r="O28" s="85">
        <f t="shared" si="3"/>
        <v>6000.0009719999998</v>
      </c>
      <c r="P28" s="85" t="str">
        <f t="shared" si="4"/>
        <v/>
      </c>
    </row>
    <row r="29" spans="1:16" x14ac:dyDescent="0.25">
      <c r="A29" s="31" t="s">
        <v>68</v>
      </c>
      <c r="B29" s="31" t="s">
        <v>459</v>
      </c>
      <c r="C29" s="31" t="s">
        <v>459</v>
      </c>
      <c r="D29" s="31" t="s">
        <v>460</v>
      </c>
      <c r="E29" s="31" t="s">
        <v>77</v>
      </c>
      <c r="F29" s="31" t="s">
        <v>447</v>
      </c>
      <c r="G29" s="27">
        <v>5500</v>
      </c>
      <c r="H29" s="36">
        <v>288750</v>
      </c>
      <c r="I29" s="31" t="s">
        <v>402</v>
      </c>
      <c r="J29" s="82"/>
      <c r="K29" s="83"/>
      <c r="L29" s="58" t="str">
        <f t="shared" si="0"/>
        <v/>
      </c>
      <c r="M29" s="84">
        <f t="shared" si="1"/>
        <v>288750.000971</v>
      </c>
      <c r="N29" s="85" t="str">
        <f t="shared" si="2"/>
        <v/>
      </c>
      <c r="O29" s="85">
        <f t="shared" si="3"/>
        <v>5500.0009710000004</v>
      </c>
      <c r="P29" s="85" t="str">
        <f t="shared" si="4"/>
        <v/>
      </c>
    </row>
    <row r="30" spans="1:16" x14ac:dyDescent="0.25">
      <c r="A30" s="31" t="s">
        <v>68</v>
      </c>
      <c r="B30" s="31" t="s">
        <v>461</v>
      </c>
      <c r="C30" s="31" t="s">
        <v>461</v>
      </c>
      <c r="D30" s="31" t="s">
        <v>409</v>
      </c>
      <c r="E30" s="31" t="s">
        <v>435</v>
      </c>
      <c r="F30" s="31" t="s">
        <v>462</v>
      </c>
      <c r="G30" s="27">
        <v>5000</v>
      </c>
      <c r="H30" s="36">
        <v>170000</v>
      </c>
      <c r="I30" s="31" t="s">
        <v>402</v>
      </c>
      <c r="J30" s="82"/>
      <c r="K30" s="83"/>
      <c r="L30" s="58" t="str">
        <f t="shared" si="0"/>
        <v/>
      </c>
      <c r="M30" s="84">
        <f t="shared" si="1"/>
        <v>170000.00096999999</v>
      </c>
      <c r="N30" s="85" t="str">
        <f t="shared" si="2"/>
        <v/>
      </c>
      <c r="O30" s="85">
        <f t="shared" si="3"/>
        <v>5000.0009700000001</v>
      </c>
      <c r="P30" s="85" t="str">
        <f t="shared" si="4"/>
        <v/>
      </c>
    </row>
    <row r="31" spans="1:16" x14ac:dyDescent="0.25">
      <c r="A31" s="31" t="s">
        <v>68</v>
      </c>
      <c r="B31" s="31" t="s">
        <v>463</v>
      </c>
      <c r="C31" s="31" t="s">
        <v>83</v>
      </c>
      <c r="D31" s="31" t="s">
        <v>428</v>
      </c>
      <c r="E31" s="31" t="s">
        <v>80</v>
      </c>
      <c r="F31" s="31" t="s">
        <v>464</v>
      </c>
      <c r="G31" s="27">
        <v>5000</v>
      </c>
      <c r="H31" s="36">
        <v>120000</v>
      </c>
      <c r="I31" s="31" t="s">
        <v>437</v>
      </c>
      <c r="J31" s="82"/>
      <c r="K31" s="83"/>
      <c r="L31" s="58" t="str">
        <f t="shared" si="0"/>
        <v/>
      </c>
      <c r="M31" s="84" t="str">
        <f t="shared" si="1"/>
        <v/>
      </c>
      <c r="N31" s="85" t="str">
        <f t="shared" si="2"/>
        <v/>
      </c>
      <c r="O31" s="85">
        <f t="shared" si="3"/>
        <v>5000.0009689999997</v>
      </c>
      <c r="P31" s="85" t="str">
        <f t="shared" si="4"/>
        <v/>
      </c>
    </row>
    <row r="32" spans="1:16" x14ac:dyDescent="0.25">
      <c r="A32" s="31" t="s">
        <v>68</v>
      </c>
      <c r="B32" s="31" t="s">
        <v>465</v>
      </c>
      <c r="C32" s="31" t="s">
        <v>466</v>
      </c>
      <c r="D32" s="31" t="s">
        <v>400</v>
      </c>
      <c r="E32" s="31" t="s">
        <v>71</v>
      </c>
      <c r="F32" s="31" t="s">
        <v>467</v>
      </c>
      <c r="G32" s="27">
        <v>4600</v>
      </c>
      <c r="H32" s="36">
        <v>226730</v>
      </c>
      <c r="I32" s="31" t="s">
        <v>402</v>
      </c>
      <c r="J32" s="82"/>
      <c r="K32" s="83"/>
      <c r="L32" s="58" t="str">
        <f t="shared" si="0"/>
        <v/>
      </c>
      <c r="M32" s="84">
        <f t="shared" si="1"/>
        <v>226730.00096800001</v>
      </c>
      <c r="N32" s="85" t="str">
        <f t="shared" si="2"/>
        <v/>
      </c>
      <c r="O32" s="85">
        <f t="shared" si="3"/>
        <v>4600.0009680000003</v>
      </c>
      <c r="P32" s="85" t="str">
        <f t="shared" si="4"/>
        <v/>
      </c>
    </row>
    <row r="33" spans="1:16" x14ac:dyDescent="0.25">
      <c r="A33" s="31" t="s">
        <v>68</v>
      </c>
      <c r="B33" s="31" t="s">
        <v>468</v>
      </c>
      <c r="C33" s="31" t="s">
        <v>469</v>
      </c>
      <c r="D33" s="31" t="s">
        <v>460</v>
      </c>
      <c r="E33" s="31" t="s">
        <v>77</v>
      </c>
      <c r="F33" s="31" t="s">
        <v>444</v>
      </c>
      <c r="G33" s="27">
        <v>4300</v>
      </c>
      <c r="H33" s="36">
        <v>90300</v>
      </c>
      <c r="I33" s="31" t="s">
        <v>402</v>
      </c>
      <c r="J33" s="82"/>
      <c r="K33" s="83"/>
      <c r="L33" s="58" t="str">
        <f t="shared" si="0"/>
        <v/>
      </c>
      <c r="M33" s="84">
        <f t="shared" si="1"/>
        <v>90300.000967</v>
      </c>
      <c r="N33" s="85" t="str">
        <f t="shared" si="2"/>
        <v/>
      </c>
      <c r="O33" s="85">
        <f t="shared" si="3"/>
        <v>4300.0009669999999</v>
      </c>
      <c r="P33" s="85" t="str">
        <f t="shared" si="4"/>
        <v/>
      </c>
    </row>
    <row r="34" spans="1:16" x14ac:dyDescent="0.25">
      <c r="A34" s="31" t="s">
        <v>68</v>
      </c>
      <c r="B34" s="31" t="s">
        <v>78</v>
      </c>
      <c r="C34" s="31" t="s">
        <v>470</v>
      </c>
      <c r="D34" s="31" t="s">
        <v>413</v>
      </c>
      <c r="E34" s="31" t="s">
        <v>78</v>
      </c>
      <c r="F34" s="31" t="s">
        <v>395</v>
      </c>
      <c r="G34" s="27">
        <v>32582</v>
      </c>
      <c r="H34" s="36">
        <v>986673</v>
      </c>
      <c r="I34" s="31" t="s">
        <v>402</v>
      </c>
      <c r="J34" s="82"/>
      <c r="K34" s="83"/>
      <c r="L34" s="58" t="str">
        <f t="shared" si="0"/>
        <v/>
      </c>
      <c r="M34" s="84" t="str">
        <f t="shared" si="1"/>
        <v/>
      </c>
      <c r="N34" s="85" t="str">
        <f t="shared" si="2"/>
        <v/>
      </c>
      <c r="O34" s="85" t="str">
        <f t="shared" si="3"/>
        <v/>
      </c>
      <c r="P34" s="85" t="str">
        <f t="shared" si="4"/>
        <v/>
      </c>
    </row>
    <row r="35" spans="1:16" x14ac:dyDescent="0.25">
      <c r="A35" s="31" t="s">
        <v>139</v>
      </c>
      <c r="B35" s="31" t="s">
        <v>471</v>
      </c>
      <c r="C35" s="31" t="s">
        <v>83</v>
      </c>
      <c r="D35" s="31" t="s">
        <v>472</v>
      </c>
      <c r="E35" s="31" t="s">
        <v>71</v>
      </c>
      <c r="F35" s="31" t="s">
        <v>462</v>
      </c>
      <c r="G35" s="27">
        <v>21528</v>
      </c>
      <c r="H35" s="36">
        <v>411564.71</v>
      </c>
      <c r="I35" s="31" t="s">
        <v>402</v>
      </c>
      <c r="J35" s="82">
        <v>0.8</v>
      </c>
      <c r="K35" s="83" t="s">
        <v>397</v>
      </c>
      <c r="L35" s="58">
        <f t="shared" si="0"/>
        <v>329251.76800000004</v>
      </c>
      <c r="M35" s="84" t="str">
        <f t="shared" si="1"/>
        <v/>
      </c>
      <c r="N35" s="85">
        <f t="shared" si="2"/>
        <v>411564.71096500003</v>
      </c>
      <c r="O35" s="85" t="str">
        <f t="shared" si="3"/>
        <v/>
      </c>
      <c r="P35" s="85">
        <f t="shared" si="4"/>
        <v>21528.000964999999</v>
      </c>
    </row>
    <row r="36" spans="1:16" x14ac:dyDescent="0.25">
      <c r="A36" s="31" t="s">
        <v>139</v>
      </c>
      <c r="B36" s="31" t="s">
        <v>473</v>
      </c>
      <c r="C36" s="31" t="s">
        <v>474</v>
      </c>
      <c r="D36" s="31" t="s">
        <v>475</v>
      </c>
      <c r="E36" s="31" t="s">
        <v>71</v>
      </c>
      <c r="F36" s="31" t="s">
        <v>462</v>
      </c>
      <c r="G36" s="27">
        <v>14000</v>
      </c>
      <c r="H36" s="36">
        <v>333529</v>
      </c>
      <c r="I36" s="31" t="s">
        <v>402</v>
      </c>
      <c r="J36" s="82">
        <v>0.82</v>
      </c>
      <c r="K36" s="83" t="s">
        <v>397</v>
      </c>
      <c r="L36" s="58">
        <f t="shared" si="0"/>
        <v>273493.77999999997</v>
      </c>
      <c r="M36" s="84" t="str">
        <f t="shared" si="1"/>
        <v/>
      </c>
      <c r="N36" s="85">
        <f t="shared" si="2"/>
        <v>333529.00096400001</v>
      </c>
      <c r="O36" s="85" t="str">
        <f t="shared" si="3"/>
        <v/>
      </c>
      <c r="P36" s="85">
        <f t="shared" si="4"/>
        <v>14000.000964000001</v>
      </c>
    </row>
    <row r="37" spans="1:16" x14ac:dyDescent="0.25">
      <c r="A37" s="31" t="s">
        <v>139</v>
      </c>
      <c r="B37" s="31" t="s">
        <v>476</v>
      </c>
      <c r="C37" s="31" t="s">
        <v>90</v>
      </c>
      <c r="D37" s="31" t="s">
        <v>477</v>
      </c>
      <c r="E37" s="31" t="s">
        <v>478</v>
      </c>
      <c r="F37" s="31" t="s">
        <v>447</v>
      </c>
      <c r="G37" s="27">
        <v>12500</v>
      </c>
      <c r="H37" s="36">
        <v>312500</v>
      </c>
      <c r="I37" s="31" t="s">
        <v>437</v>
      </c>
      <c r="J37" s="82"/>
      <c r="K37" s="83"/>
      <c r="L37" s="58" t="str">
        <f t="shared" si="0"/>
        <v/>
      </c>
      <c r="M37" s="84" t="str">
        <f t="shared" si="1"/>
        <v/>
      </c>
      <c r="N37" s="85" t="str">
        <f t="shared" si="2"/>
        <v/>
      </c>
      <c r="O37" s="85" t="str">
        <f t="shared" si="3"/>
        <v/>
      </c>
      <c r="P37" s="85">
        <f t="shared" si="4"/>
        <v>12500.000963</v>
      </c>
    </row>
    <row r="38" spans="1:16" x14ac:dyDescent="0.25">
      <c r="A38" s="31" t="s">
        <v>139</v>
      </c>
      <c r="B38" s="31" t="s">
        <v>479</v>
      </c>
      <c r="C38" s="31" t="s">
        <v>480</v>
      </c>
      <c r="D38" s="31" t="s">
        <v>428</v>
      </c>
      <c r="E38" s="31" t="s">
        <v>80</v>
      </c>
      <c r="F38" s="31" t="s">
        <v>447</v>
      </c>
      <c r="G38" s="27">
        <v>12000</v>
      </c>
      <c r="H38" s="36">
        <v>360000</v>
      </c>
      <c r="I38" s="31" t="s">
        <v>396</v>
      </c>
      <c r="J38" s="82">
        <v>0.9</v>
      </c>
      <c r="K38" s="83" t="s">
        <v>397</v>
      </c>
      <c r="L38" s="58">
        <f t="shared" si="0"/>
        <v>324000</v>
      </c>
      <c r="M38" s="84" t="str">
        <f t="shared" si="1"/>
        <v/>
      </c>
      <c r="N38" s="85">
        <f t="shared" si="2"/>
        <v>360000.00096199999</v>
      </c>
      <c r="O38" s="85" t="str">
        <f t="shared" si="3"/>
        <v/>
      </c>
      <c r="P38" s="85">
        <f t="shared" si="4"/>
        <v>12000.000962</v>
      </c>
    </row>
    <row r="39" spans="1:16" x14ac:dyDescent="0.25">
      <c r="A39" s="31" t="s">
        <v>139</v>
      </c>
      <c r="B39" s="31" t="s">
        <v>473</v>
      </c>
      <c r="C39" s="31" t="s">
        <v>481</v>
      </c>
      <c r="D39" s="31" t="s">
        <v>475</v>
      </c>
      <c r="E39" s="31" t="s">
        <v>71</v>
      </c>
      <c r="F39" s="31" t="s">
        <v>482</v>
      </c>
      <c r="G39" s="27">
        <v>4106</v>
      </c>
      <c r="H39" s="36">
        <v>494712</v>
      </c>
      <c r="I39" s="31" t="s">
        <v>402</v>
      </c>
      <c r="J39" s="82">
        <v>0.85</v>
      </c>
      <c r="K39" s="83" t="s">
        <v>406</v>
      </c>
      <c r="L39" s="58">
        <f t="shared" si="0"/>
        <v>420505.2</v>
      </c>
      <c r="M39" s="84" t="str">
        <f t="shared" si="1"/>
        <v/>
      </c>
      <c r="N39" s="85">
        <f t="shared" si="2"/>
        <v>494712.00096099998</v>
      </c>
      <c r="O39" s="85" t="str">
        <f t="shared" si="3"/>
        <v/>
      </c>
      <c r="P39" s="85">
        <f t="shared" si="4"/>
        <v>4106.0009609999997</v>
      </c>
    </row>
    <row r="40" spans="1:16" x14ac:dyDescent="0.25">
      <c r="A40" s="31" t="s">
        <v>139</v>
      </c>
      <c r="B40" s="31" t="s">
        <v>483</v>
      </c>
      <c r="C40" s="31" t="s">
        <v>399</v>
      </c>
      <c r="D40" s="31" t="s">
        <v>472</v>
      </c>
      <c r="E40" s="31" t="s">
        <v>71</v>
      </c>
      <c r="F40" s="31" t="s">
        <v>405</v>
      </c>
      <c r="G40" s="27">
        <v>4000</v>
      </c>
      <c r="H40" s="36">
        <v>152072</v>
      </c>
      <c r="I40" s="31" t="s">
        <v>402</v>
      </c>
      <c r="J40" s="82">
        <v>0.8</v>
      </c>
      <c r="K40" s="83" t="s">
        <v>406</v>
      </c>
      <c r="L40" s="58">
        <f t="shared" ref="L40:L67" si="5">IF(J40="","",H40*J40)</f>
        <v>121657.60000000001</v>
      </c>
      <c r="M40" s="84" t="str">
        <f t="shared" ref="M40:M67" si="6">IF(AND(A40="Industrial",I40&lt;&gt;"Closed Won",B40&lt;&gt;"Others"),IF($C$4="m2",G40,H40)+(1000-ROW())/1000000,"")</f>
        <v/>
      </c>
      <c r="N40" s="85">
        <f t="shared" ref="N40:N67" si="7">IF(AND(A40="Distribución",I40&lt;&gt;"Closed Won",B40&lt;&gt;"Others"),IF($C$4="m2",G40,H40)+(1000-ROW())/1000000,"")</f>
        <v>152072.00096</v>
      </c>
      <c r="O40" s="85" t="str">
        <f t="shared" ref="O40:O67" si="8">IF(AND(A40="Industrial",B40&lt;&gt;"Others"),G40+(1000-ROW())/1000000,"")</f>
        <v/>
      </c>
      <c r="P40" s="85">
        <f t="shared" ref="P40:P67" si="9">IF(AND(A40="Distribución",B40&lt;&gt;"Others"),G40+(1000-ROW())/1000000,"")</f>
        <v>4000.0009599999998</v>
      </c>
    </row>
    <row r="41" spans="1:16" x14ac:dyDescent="0.25">
      <c r="A41" s="31" t="s">
        <v>139</v>
      </c>
      <c r="B41" s="31" t="s">
        <v>473</v>
      </c>
      <c r="C41" s="31" t="s">
        <v>484</v>
      </c>
      <c r="D41" s="31" t="s">
        <v>475</v>
      </c>
      <c r="E41" s="31" t="s">
        <v>71</v>
      </c>
      <c r="F41" s="31" t="s">
        <v>462</v>
      </c>
      <c r="G41" s="27">
        <v>4000</v>
      </c>
      <c r="H41" s="36">
        <v>136094</v>
      </c>
      <c r="I41" s="31" t="s">
        <v>402</v>
      </c>
      <c r="J41" s="82"/>
      <c r="K41" s="83"/>
      <c r="L41" s="58" t="str">
        <f t="shared" si="5"/>
        <v/>
      </c>
      <c r="M41" s="84" t="str">
        <f t="shared" si="6"/>
        <v/>
      </c>
      <c r="N41" s="85">
        <f t="shared" si="7"/>
        <v>136094.000959</v>
      </c>
      <c r="O41" s="85" t="str">
        <f t="shared" si="8"/>
        <v/>
      </c>
      <c r="P41" s="85">
        <f t="shared" si="9"/>
        <v>4000.000959</v>
      </c>
    </row>
    <row r="42" spans="1:16" x14ac:dyDescent="0.25">
      <c r="A42" s="31" t="s">
        <v>139</v>
      </c>
      <c r="B42" s="31" t="s">
        <v>485</v>
      </c>
      <c r="C42" s="31" t="s">
        <v>486</v>
      </c>
      <c r="D42" s="31" t="s">
        <v>487</v>
      </c>
      <c r="E42" s="31" t="s">
        <v>71</v>
      </c>
      <c r="F42" s="31" t="s">
        <v>447</v>
      </c>
      <c r="G42" s="27">
        <v>2715</v>
      </c>
      <c r="H42" s="36">
        <v>119437</v>
      </c>
      <c r="I42" s="31" t="s">
        <v>437</v>
      </c>
      <c r="J42" s="82"/>
      <c r="K42" s="83"/>
      <c r="L42" s="58" t="str">
        <f t="shared" si="5"/>
        <v/>
      </c>
      <c r="M42" s="84" t="str">
        <f t="shared" si="6"/>
        <v/>
      </c>
      <c r="N42" s="85" t="str">
        <f t="shared" si="7"/>
        <v/>
      </c>
      <c r="O42" s="85" t="str">
        <f t="shared" si="8"/>
        <v/>
      </c>
      <c r="P42" s="85">
        <f t="shared" si="9"/>
        <v>2715.0009580000001</v>
      </c>
    </row>
    <row r="43" spans="1:16" x14ac:dyDescent="0.25">
      <c r="A43" s="31" t="s">
        <v>139</v>
      </c>
      <c r="B43" s="31" t="s">
        <v>488</v>
      </c>
      <c r="C43" s="31" t="s">
        <v>399</v>
      </c>
      <c r="D43" s="31" t="s">
        <v>489</v>
      </c>
      <c r="E43" s="31" t="s">
        <v>71</v>
      </c>
      <c r="F43" s="31" t="s">
        <v>444</v>
      </c>
      <c r="G43" s="27">
        <v>2405</v>
      </c>
      <c r="H43" s="36">
        <v>79598</v>
      </c>
      <c r="I43" s="31" t="s">
        <v>402</v>
      </c>
      <c r="J43" s="82"/>
      <c r="K43" s="83"/>
      <c r="L43" s="58" t="str">
        <f t="shared" si="5"/>
        <v/>
      </c>
      <c r="M43" s="84" t="str">
        <f t="shared" si="6"/>
        <v/>
      </c>
      <c r="N43" s="85">
        <f t="shared" si="7"/>
        <v>79598.000956999997</v>
      </c>
      <c r="O43" s="85" t="str">
        <f t="shared" si="8"/>
        <v/>
      </c>
      <c r="P43" s="85">
        <f t="shared" si="9"/>
        <v>2405.0009570000002</v>
      </c>
    </row>
    <row r="44" spans="1:16" x14ac:dyDescent="0.25">
      <c r="A44" s="31" t="s">
        <v>139</v>
      </c>
      <c r="B44" s="31" t="s">
        <v>490</v>
      </c>
      <c r="C44" s="31" t="s">
        <v>491</v>
      </c>
      <c r="D44" s="31" t="s">
        <v>428</v>
      </c>
      <c r="E44" s="31" t="s">
        <v>80</v>
      </c>
      <c r="F44" s="31" t="s">
        <v>447</v>
      </c>
      <c r="G44" s="27">
        <v>2000</v>
      </c>
      <c r="H44" s="36">
        <v>60000</v>
      </c>
      <c r="I44" s="31" t="s">
        <v>437</v>
      </c>
      <c r="J44" s="82"/>
      <c r="K44" s="83"/>
      <c r="L44" s="58" t="str">
        <f t="shared" si="5"/>
        <v/>
      </c>
      <c r="M44" s="84" t="str">
        <f t="shared" si="6"/>
        <v/>
      </c>
      <c r="N44" s="85" t="str">
        <f t="shared" si="7"/>
        <v/>
      </c>
      <c r="O44" s="85" t="str">
        <f t="shared" si="8"/>
        <v/>
      </c>
      <c r="P44" s="85">
        <f t="shared" si="9"/>
        <v>2000.0009560000001</v>
      </c>
    </row>
    <row r="45" spans="1:16" x14ac:dyDescent="0.25">
      <c r="A45" s="31"/>
      <c r="B45" s="31"/>
      <c r="C45" s="31"/>
      <c r="D45" s="31"/>
      <c r="E45" s="31"/>
      <c r="F45" s="31"/>
      <c r="G45" s="27"/>
      <c r="H45" s="36"/>
      <c r="I45" s="31"/>
      <c r="J45" s="82"/>
      <c r="K45" s="83"/>
      <c r="L45" s="58" t="str">
        <f t="shared" si="5"/>
        <v/>
      </c>
      <c r="M45" s="84" t="str">
        <f t="shared" si="6"/>
        <v/>
      </c>
      <c r="N45" s="85" t="str">
        <f t="shared" si="7"/>
        <v/>
      </c>
      <c r="O45" s="85" t="str">
        <f t="shared" si="8"/>
        <v/>
      </c>
      <c r="P45" s="85" t="str">
        <f t="shared" si="9"/>
        <v/>
      </c>
    </row>
    <row r="46" spans="1:16" x14ac:dyDescent="0.25">
      <c r="A46" s="31"/>
      <c r="B46" s="31"/>
      <c r="C46" s="31"/>
      <c r="D46" s="31"/>
      <c r="E46" s="31"/>
      <c r="F46" s="31"/>
      <c r="G46" s="27"/>
      <c r="H46" s="36"/>
      <c r="I46" s="31"/>
      <c r="J46" s="82"/>
      <c r="K46" s="83"/>
      <c r="L46" s="58" t="str">
        <f t="shared" si="5"/>
        <v/>
      </c>
      <c r="M46" s="84" t="str">
        <f t="shared" si="6"/>
        <v/>
      </c>
      <c r="N46" s="85" t="str">
        <f t="shared" si="7"/>
        <v/>
      </c>
      <c r="O46" s="85" t="str">
        <f t="shared" si="8"/>
        <v/>
      </c>
      <c r="P46" s="85" t="str">
        <f t="shared" si="9"/>
        <v/>
      </c>
    </row>
    <row r="47" spans="1:16" x14ac:dyDescent="0.25">
      <c r="A47" s="31"/>
      <c r="B47" s="31"/>
      <c r="C47" s="31"/>
      <c r="D47" s="31"/>
      <c r="E47" s="31"/>
      <c r="F47" s="31"/>
      <c r="G47" s="27"/>
      <c r="H47" s="36"/>
      <c r="I47" s="31"/>
      <c r="J47" s="82"/>
      <c r="K47" s="83"/>
      <c r="L47" s="58" t="str">
        <f t="shared" si="5"/>
        <v/>
      </c>
      <c r="M47" s="84" t="str">
        <f t="shared" si="6"/>
        <v/>
      </c>
      <c r="N47" s="85" t="str">
        <f t="shared" si="7"/>
        <v/>
      </c>
      <c r="O47" s="85" t="str">
        <f t="shared" si="8"/>
        <v/>
      </c>
      <c r="P47" s="85" t="str">
        <f t="shared" si="9"/>
        <v/>
      </c>
    </row>
    <row r="48" spans="1:16" x14ac:dyDescent="0.25">
      <c r="A48" s="31"/>
      <c r="B48" s="31"/>
      <c r="C48" s="31"/>
      <c r="D48" s="31"/>
      <c r="E48" s="31"/>
      <c r="F48" s="31"/>
      <c r="G48" s="27"/>
      <c r="H48" s="36"/>
      <c r="I48" s="31"/>
      <c r="J48" s="82"/>
      <c r="K48" s="83"/>
      <c r="L48" s="58" t="str">
        <f t="shared" si="5"/>
        <v/>
      </c>
      <c r="M48" s="84" t="str">
        <f t="shared" si="6"/>
        <v/>
      </c>
      <c r="N48" s="85" t="str">
        <f t="shared" si="7"/>
        <v/>
      </c>
      <c r="O48" s="85" t="str">
        <f t="shared" si="8"/>
        <v/>
      </c>
      <c r="P48" s="85" t="str">
        <f t="shared" si="9"/>
        <v/>
      </c>
    </row>
    <row r="49" spans="1:16" x14ac:dyDescent="0.25">
      <c r="A49" s="31"/>
      <c r="B49" s="31"/>
      <c r="C49" s="31"/>
      <c r="D49" s="31"/>
      <c r="E49" s="31"/>
      <c r="F49" s="31"/>
      <c r="G49" s="27"/>
      <c r="H49" s="36"/>
      <c r="I49" s="31"/>
      <c r="J49" s="82"/>
      <c r="K49" s="83"/>
      <c r="L49" s="58" t="str">
        <f t="shared" si="5"/>
        <v/>
      </c>
      <c r="M49" s="84" t="str">
        <f t="shared" si="6"/>
        <v/>
      </c>
      <c r="N49" s="85" t="str">
        <f t="shared" si="7"/>
        <v/>
      </c>
      <c r="O49" s="85" t="str">
        <f t="shared" si="8"/>
        <v/>
      </c>
      <c r="P49" s="85" t="str">
        <f t="shared" si="9"/>
        <v/>
      </c>
    </row>
    <row r="50" spans="1:16" x14ac:dyDescent="0.25">
      <c r="A50" s="31"/>
      <c r="B50" s="31"/>
      <c r="C50" s="31"/>
      <c r="D50" s="31"/>
      <c r="E50" s="31"/>
      <c r="F50" s="31"/>
      <c r="G50" s="27"/>
      <c r="H50" s="36"/>
      <c r="I50" s="31"/>
      <c r="J50" s="82"/>
      <c r="K50" s="83"/>
      <c r="L50" s="58" t="str">
        <f t="shared" si="5"/>
        <v/>
      </c>
      <c r="M50" s="84" t="str">
        <f t="shared" si="6"/>
        <v/>
      </c>
      <c r="N50" s="85" t="str">
        <f t="shared" si="7"/>
        <v/>
      </c>
      <c r="O50" s="85" t="str">
        <f t="shared" si="8"/>
        <v/>
      </c>
      <c r="P50" s="85" t="str">
        <f t="shared" si="9"/>
        <v/>
      </c>
    </row>
    <row r="51" spans="1:16" x14ac:dyDescent="0.25">
      <c r="A51" s="31"/>
      <c r="B51" s="31"/>
      <c r="C51" s="31"/>
      <c r="D51" s="31"/>
      <c r="E51" s="31"/>
      <c r="F51" s="31"/>
      <c r="G51" s="27"/>
      <c r="H51" s="36"/>
      <c r="I51" s="31"/>
      <c r="J51" s="82"/>
      <c r="K51" s="83"/>
      <c r="L51" s="58" t="str">
        <f t="shared" si="5"/>
        <v/>
      </c>
      <c r="M51" s="84" t="str">
        <f t="shared" si="6"/>
        <v/>
      </c>
      <c r="N51" s="85" t="str">
        <f t="shared" si="7"/>
        <v/>
      </c>
      <c r="O51" s="85" t="str">
        <f t="shared" si="8"/>
        <v/>
      </c>
      <c r="P51" s="85" t="str">
        <f t="shared" si="9"/>
        <v/>
      </c>
    </row>
    <row r="52" spans="1:16" x14ac:dyDescent="0.25">
      <c r="A52" s="31"/>
      <c r="B52" s="31"/>
      <c r="C52" s="31"/>
      <c r="D52" s="31"/>
      <c r="E52" s="31"/>
      <c r="F52" s="31"/>
      <c r="G52" s="27"/>
      <c r="H52" s="36"/>
      <c r="I52" s="31"/>
      <c r="J52" s="82"/>
      <c r="K52" s="83"/>
      <c r="L52" s="58" t="str">
        <f t="shared" si="5"/>
        <v/>
      </c>
      <c r="M52" s="84" t="str">
        <f t="shared" si="6"/>
        <v/>
      </c>
      <c r="N52" s="85" t="str">
        <f t="shared" si="7"/>
        <v/>
      </c>
      <c r="O52" s="85" t="str">
        <f t="shared" si="8"/>
        <v/>
      </c>
      <c r="P52" s="85" t="str">
        <f t="shared" si="9"/>
        <v/>
      </c>
    </row>
    <row r="53" spans="1:16" x14ac:dyDescent="0.25">
      <c r="A53" s="31"/>
      <c r="B53" s="31"/>
      <c r="C53" s="31"/>
      <c r="D53" s="31"/>
      <c r="E53" s="31"/>
      <c r="F53" s="31"/>
      <c r="G53" s="27"/>
      <c r="H53" s="36"/>
      <c r="I53" s="31"/>
      <c r="J53" s="82"/>
      <c r="K53" s="83"/>
      <c r="L53" s="58" t="str">
        <f t="shared" si="5"/>
        <v/>
      </c>
      <c r="M53" s="84" t="str">
        <f t="shared" si="6"/>
        <v/>
      </c>
      <c r="N53" s="85" t="str">
        <f t="shared" si="7"/>
        <v/>
      </c>
      <c r="O53" s="85" t="str">
        <f t="shared" si="8"/>
        <v/>
      </c>
      <c r="P53" s="85" t="str">
        <f t="shared" si="9"/>
        <v/>
      </c>
    </row>
    <row r="54" spans="1:16" x14ac:dyDescent="0.25">
      <c r="A54" s="31"/>
      <c r="B54" s="31"/>
      <c r="C54" s="31"/>
      <c r="D54" s="31"/>
      <c r="E54" s="31"/>
      <c r="F54" s="31"/>
      <c r="G54" s="27"/>
      <c r="H54" s="36"/>
      <c r="I54" s="31"/>
      <c r="J54" s="82"/>
      <c r="K54" s="83"/>
      <c r="L54" s="58" t="str">
        <f t="shared" si="5"/>
        <v/>
      </c>
      <c r="M54" s="84" t="str">
        <f t="shared" si="6"/>
        <v/>
      </c>
      <c r="N54" s="85" t="str">
        <f t="shared" si="7"/>
        <v/>
      </c>
      <c r="O54" s="85" t="str">
        <f t="shared" si="8"/>
        <v/>
      </c>
      <c r="P54" s="85" t="str">
        <f t="shared" si="9"/>
        <v/>
      </c>
    </row>
    <row r="55" spans="1:16" x14ac:dyDescent="0.25">
      <c r="A55" s="31"/>
      <c r="B55" s="31"/>
      <c r="C55" s="31"/>
      <c r="D55" s="31"/>
      <c r="E55" s="31"/>
      <c r="F55" s="31"/>
      <c r="G55" s="27"/>
      <c r="H55" s="36"/>
      <c r="I55" s="31"/>
      <c r="J55" s="82"/>
      <c r="K55" s="83"/>
      <c r="L55" s="58" t="str">
        <f t="shared" si="5"/>
        <v/>
      </c>
      <c r="M55" s="84" t="str">
        <f t="shared" si="6"/>
        <v/>
      </c>
      <c r="N55" s="85" t="str">
        <f t="shared" si="7"/>
        <v/>
      </c>
      <c r="O55" s="85" t="str">
        <f t="shared" si="8"/>
        <v/>
      </c>
      <c r="P55" s="85" t="str">
        <f t="shared" si="9"/>
        <v/>
      </c>
    </row>
    <row r="56" spans="1:16" x14ac:dyDescent="0.25">
      <c r="A56" s="31"/>
      <c r="B56" s="31"/>
      <c r="C56" s="31"/>
      <c r="D56" s="31"/>
      <c r="E56" s="31"/>
      <c r="F56" s="31"/>
      <c r="G56" s="27"/>
      <c r="H56" s="36"/>
      <c r="I56" s="31"/>
      <c r="J56" s="82"/>
      <c r="K56" s="83"/>
      <c r="L56" s="58" t="str">
        <f t="shared" si="5"/>
        <v/>
      </c>
      <c r="M56" s="84" t="str">
        <f t="shared" si="6"/>
        <v/>
      </c>
      <c r="N56" s="85" t="str">
        <f t="shared" si="7"/>
        <v/>
      </c>
      <c r="O56" s="85" t="str">
        <f t="shared" si="8"/>
        <v/>
      </c>
      <c r="P56" s="85" t="str">
        <f t="shared" si="9"/>
        <v/>
      </c>
    </row>
    <row r="57" spans="1:16" x14ac:dyDescent="0.25">
      <c r="A57" s="31"/>
      <c r="B57" s="31"/>
      <c r="C57" s="31"/>
      <c r="D57" s="31"/>
      <c r="E57" s="31"/>
      <c r="F57" s="31"/>
      <c r="G57" s="27"/>
      <c r="H57" s="36"/>
      <c r="I57" s="31"/>
      <c r="J57" s="82"/>
      <c r="K57" s="83"/>
      <c r="L57" s="58" t="str">
        <f t="shared" si="5"/>
        <v/>
      </c>
      <c r="M57" s="84" t="str">
        <f t="shared" si="6"/>
        <v/>
      </c>
      <c r="N57" s="85" t="str">
        <f t="shared" si="7"/>
        <v/>
      </c>
      <c r="O57" s="85" t="str">
        <f t="shared" si="8"/>
        <v/>
      </c>
      <c r="P57" s="85" t="str">
        <f t="shared" si="9"/>
        <v/>
      </c>
    </row>
    <row r="58" spans="1:16" x14ac:dyDescent="0.25">
      <c r="A58" s="31"/>
      <c r="B58" s="31"/>
      <c r="C58" s="31"/>
      <c r="D58" s="31"/>
      <c r="E58" s="31"/>
      <c r="F58" s="31"/>
      <c r="G58" s="27"/>
      <c r="H58" s="36"/>
      <c r="I58" s="31"/>
      <c r="J58" s="82"/>
      <c r="K58" s="83"/>
      <c r="L58" s="58" t="str">
        <f t="shared" si="5"/>
        <v/>
      </c>
      <c r="M58" s="84" t="str">
        <f t="shared" si="6"/>
        <v/>
      </c>
      <c r="N58" s="85" t="str">
        <f t="shared" si="7"/>
        <v/>
      </c>
      <c r="O58" s="85" t="str">
        <f t="shared" si="8"/>
        <v/>
      </c>
      <c r="P58" s="85" t="str">
        <f t="shared" si="9"/>
        <v/>
      </c>
    </row>
    <row r="59" spans="1:16" x14ac:dyDescent="0.25">
      <c r="A59" s="31"/>
      <c r="B59" s="31"/>
      <c r="C59" s="31"/>
      <c r="D59" s="31"/>
      <c r="E59" s="31"/>
      <c r="F59" s="31"/>
      <c r="G59" s="27"/>
      <c r="H59" s="36"/>
      <c r="I59" s="31"/>
      <c r="J59" s="82"/>
      <c r="K59" s="83"/>
      <c r="L59" s="58" t="str">
        <f t="shared" si="5"/>
        <v/>
      </c>
      <c r="M59" s="84" t="str">
        <f t="shared" si="6"/>
        <v/>
      </c>
      <c r="N59" s="85" t="str">
        <f t="shared" si="7"/>
        <v/>
      </c>
      <c r="O59" s="85" t="str">
        <f t="shared" si="8"/>
        <v/>
      </c>
      <c r="P59" s="85" t="str">
        <f t="shared" si="9"/>
        <v/>
      </c>
    </row>
    <row r="60" spans="1:16" x14ac:dyDescent="0.25">
      <c r="A60" s="31"/>
      <c r="B60" s="31"/>
      <c r="C60" s="31"/>
      <c r="D60" s="31"/>
      <c r="E60" s="31"/>
      <c r="F60" s="31"/>
      <c r="G60" s="27"/>
      <c r="H60" s="36"/>
      <c r="I60" s="31"/>
      <c r="J60" s="82"/>
      <c r="K60" s="83"/>
      <c r="L60" s="58" t="str">
        <f t="shared" si="5"/>
        <v/>
      </c>
      <c r="M60" s="84" t="str">
        <f t="shared" si="6"/>
        <v/>
      </c>
      <c r="N60" s="85" t="str">
        <f t="shared" si="7"/>
        <v/>
      </c>
      <c r="O60" s="85" t="str">
        <f t="shared" si="8"/>
        <v/>
      </c>
      <c r="P60" s="85" t="str">
        <f t="shared" si="9"/>
        <v/>
      </c>
    </row>
    <row r="61" spans="1:16" x14ac:dyDescent="0.25">
      <c r="A61" s="31"/>
      <c r="B61" s="31"/>
      <c r="C61" s="31"/>
      <c r="D61" s="31"/>
      <c r="E61" s="31"/>
      <c r="F61" s="31"/>
      <c r="G61" s="27"/>
      <c r="H61" s="36"/>
      <c r="I61" s="31"/>
      <c r="J61" s="82"/>
      <c r="K61" s="83"/>
      <c r="L61" s="58" t="str">
        <f t="shared" si="5"/>
        <v/>
      </c>
      <c r="M61" s="84" t="str">
        <f t="shared" si="6"/>
        <v/>
      </c>
      <c r="N61" s="85" t="str">
        <f t="shared" si="7"/>
        <v/>
      </c>
      <c r="O61" s="85" t="str">
        <f t="shared" si="8"/>
        <v/>
      </c>
      <c r="P61" s="85" t="str">
        <f t="shared" si="9"/>
        <v/>
      </c>
    </row>
    <row r="62" spans="1:16" x14ac:dyDescent="0.25">
      <c r="A62" s="31"/>
      <c r="B62" s="31"/>
      <c r="C62" s="31"/>
      <c r="D62" s="31"/>
      <c r="E62" s="31"/>
      <c r="F62" s="31"/>
      <c r="G62" s="27"/>
      <c r="H62" s="36"/>
      <c r="I62" s="31"/>
      <c r="J62" s="82"/>
      <c r="K62" s="83"/>
      <c r="L62" s="58" t="str">
        <f t="shared" si="5"/>
        <v/>
      </c>
      <c r="M62" s="84" t="str">
        <f t="shared" si="6"/>
        <v/>
      </c>
      <c r="N62" s="85" t="str">
        <f t="shared" si="7"/>
        <v/>
      </c>
      <c r="O62" s="85" t="str">
        <f t="shared" si="8"/>
        <v/>
      </c>
      <c r="P62" s="85" t="str">
        <f t="shared" si="9"/>
        <v/>
      </c>
    </row>
    <row r="63" spans="1:16" x14ac:dyDescent="0.25">
      <c r="A63" s="31"/>
      <c r="B63" s="31"/>
      <c r="C63" s="31"/>
      <c r="D63" s="31"/>
      <c r="E63" s="31"/>
      <c r="F63" s="31"/>
      <c r="G63" s="27"/>
      <c r="H63" s="36"/>
      <c r="I63" s="31"/>
      <c r="J63" s="82"/>
      <c r="K63" s="83"/>
      <c r="L63" s="58" t="str">
        <f t="shared" si="5"/>
        <v/>
      </c>
      <c r="M63" s="84" t="str">
        <f t="shared" si="6"/>
        <v/>
      </c>
      <c r="N63" s="85" t="str">
        <f t="shared" si="7"/>
        <v/>
      </c>
      <c r="O63" s="85" t="str">
        <f t="shared" si="8"/>
        <v/>
      </c>
      <c r="P63" s="85" t="str">
        <f t="shared" si="9"/>
        <v/>
      </c>
    </row>
    <row r="64" spans="1:16" x14ac:dyDescent="0.25">
      <c r="A64" s="31"/>
      <c r="B64" s="31"/>
      <c r="C64" s="31"/>
      <c r="D64" s="31"/>
      <c r="E64" s="31"/>
      <c r="F64" s="31"/>
      <c r="G64" s="27"/>
      <c r="H64" s="36"/>
      <c r="I64" s="31"/>
      <c r="J64" s="82"/>
      <c r="K64" s="83"/>
      <c r="L64" s="58" t="str">
        <f t="shared" si="5"/>
        <v/>
      </c>
      <c r="M64" s="84" t="str">
        <f t="shared" si="6"/>
        <v/>
      </c>
      <c r="N64" s="85" t="str">
        <f t="shared" si="7"/>
        <v/>
      </c>
      <c r="O64" s="85" t="str">
        <f t="shared" si="8"/>
        <v/>
      </c>
      <c r="P64" s="85" t="str">
        <f t="shared" si="9"/>
        <v/>
      </c>
    </row>
    <row r="65" spans="1:16" x14ac:dyDescent="0.25">
      <c r="A65" s="31"/>
      <c r="B65" s="31"/>
      <c r="C65" s="31"/>
      <c r="D65" s="31"/>
      <c r="E65" s="31"/>
      <c r="F65" s="31"/>
      <c r="G65" s="27"/>
      <c r="H65" s="36"/>
      <c r="I65" s="31"/>
      <c r="J65" s="82"/>
      <c r="K65" s="83"/>
      <c r="L65" s="58" t="str">
        <f t="shared" si="5"/>
        <v/>
      </c>
      <c r="M65" s="84" t="str">
        <f t="shared" si="6"/>
        <v/>
      </c>
      <c r="N65" s="85" t="str">
        <f t="shared" si="7"/>
        <v/>
      </c>
      <c r="O65" s="85" t="str">
        <f t="shared" si="8"/>
        <v/>
      </c>
      <c r="P65" s="85" t="str">
        <f t="shared" si="9"/>
        <v/>
      </c>
    </row>
    <row r="66" spans="1:16" x14ac:dyDescent="0.25">
      <c r="A66" s="31"/>
      <c r="B66" s="31"/>
      <c r="C66" s="31"/>
      <c r="D66" s="31"/>
      <c r="E66" s="31"/>
      <c r="F66" s="31"/>
      <c r="G66" s="27"/>
      <c r="H66" s="36"/>
      <c r="I66" s="31"/>
      <c r="J66" s="82"/>
      <c r="K66" s="83"/>
      <c r="L66" s="58" t="str">
        <f t="shared" si="5"/>
        <v/>
      </c>
      <c r="M66" s="84" t="str">
        <f t="shared" si="6"/>
        <v/>
      </c>
      <c r="N66" s="85" t="str">
        <f t="shared" si="7"/>
        <v/>
      </c>
      <c r="O66" s="85" t="str">
        <f t="shared" si="8"/>
        <v/>
      </c>
      <c r="P66" s="85" t="str">
        <f t="shared" si="9"/>
        <v/>
      </c>
    </row>
    <row r="67" spans="1:16" x14ac:dyDescent="0.25">
      <c r="A67" s="31"/>
      <c r="B67" s="31"/>
      <c r="C67" s="31"/>
      <c r="D67" s="31"/>
      <c r="E67" s="31"/>
      <c r="F67" s="31"/>
      <c r="G67" s="27"/>
      <c r="H67" s="36"/>
      <c r="I67" s="31"/>
      <c r="J67" s="82"/>
      <c r="K67" s="83"/>
      <c r="L67" s="58" t="str">
        <f t="shared" si="5"/>
        <v/>
      </c>
      <c r="M67" s="84" t="str">
        <f t="shared" si="6"/>
        <v/>
      </c>
      <c r="N67" s="85" t="str">
        <f t="shared" si="7"/>
        <v/>
      </c>
      <c r="O67" s="85" t="str">
        <f t="shared" si="8"/>
        <v/>
      </c>
      <c r="P67" s="85" t="str">
        <f t="shared" si="9"/>
        <v/>
      </c>
    </row>
  </sheetData>
  <autoFilter ref="A6:P67" xr:uid="{00000000-0009-0000-0000-000012000000}"/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EDB6"/>
  </sheetPr>
  <dimension ref="A1:F21"/>
  <sheetViews>
    <sheetView showGridLines="0" zoomScaleNormal="100" workbookViewId="0"/>
  </sheetViews>
  <sheetFormatPr baseColWidth="10" defaultColWidth="8.7109375" defaultRowHeight="15" x14ac:dyDescent="0.25"/>
  <cols>
    <col min="1" max="1" width="4" customWidth="1"/>
    <col min="2" max="2" width="24" customWidth="1"/>
    <col min="3" max="3" width="80" customWidth="1"/>
    <col min="4" max="4" width="70" customWidth="1"/>
    <col min="5" max="5" width="12" customWidth="1"/>
    <col min="6" max="6" width="30" customWidth="1"/>
  </cols>
  <sheetData>
    <row r="1" spans="1:6" ht="18" customHeight="1" x14ac:dyDescent="0.25">
      <c r="A1" s="2" t="s">
        <v>492</v>
      </c>
    </row>
    <row r="2" spans="1:6" x14ac:dyDescent="0.25">
      <c r="A2" s="24" t="s">
        <v>493</v>
      </c>
    </row>
    <row r="3" spans="1:6" x14ac:dyDescent="0.25">
      <c r="A3" s="86" t="s">
        <v>494</v>
      </c>
      <c r="E3" s="86">
        <f>COUNTIF(E5:E21,"Abierto")</f>
        <v>6</v>
      </c>
    </row>
    <row r="4" spans="1:6" ht="30" customHeight="1" x14ac:dyDescent="0.25">
      <c r="A4" s="25" t="s">
        <v>47</v>
      </c>
      <c r="B4" s="25" t="s">
        <v>495</v>
      </c>
      <c r="C4" s="25" t="s">
        <v>496</v>
      </c>
      <c r="D4" s="25" t="s">
        <v>497</v>
      </c>
      <c r="E4" s="87" t="s">
        <v>165</v>
      </c>
      <c r="F4" s="87" t="s">
        <v>498</v>
      </c>
    </row>
    <row r="5" spans="1:6" ht="24.75" customHeight="1" x14ac:dyDescent="0.25">
      <c r="A5" s="32">
        <v>1</v>
      </c>
      <c r="B5" s="88" t="s">
        <v>499</v>
      </c>
      <c r="C5" s="88" t="s">
        <v>500</v>
      </c>
      <c r="D5" s="88" t="s">
        <v>501</v>
      </c>
      <c r="E5" s="1" t="s">
        <v>502</v>
      </c>
      <c r="F5" s="1"/>
    </row>
    <row r="6" spans="1:6" x14ac:dyDescent="0.25">
      <c r="A6" s="32">
        <v>2</v>
      </c>
      <c r="B6" s="88" t="s">
        <v>499</v>
      </c>
      <c r="C6" s="88" t="s">
        <v>503</v>
      </c>
      <c r="D6" s="88" t="s">
        <v>504</v>
      </c>
      <c r="E6" s="1" t="s">
        <v>502</v>
      </c>
      <c r="F6" s="1"/>
    </row>
    <row r="7" spans="1:6" x14ac:dyDescent="0.25">
      <c r="A7" s="32">
        <v>3</v>
      </c>
      <c r="B7" s="88" t="s">
        <v>505</v>
      </c>
      <c r="C7" s="88" t="s">
        <v>506</v>
      </c>
      <c r="D7" s="88" t="s">
        <v>507</v>
      </c>
      <c r="E7" s="1" t="s">
        <v>502</v>
      </c>
      <c r="F7" s="1"/>
    </row>
    <row r="8" spans="1:6" ht="24.75" customHeight="1" x14ac:dyDescent="0.25">
      <c r="A8" s="32">
        <v>4</v>
      </c>
      <c r="B8" s="88" t="s">
        <v>508</v>
      </c>
      <c r="C8" s="88" t="s">
        <v>509</v>
      </c>
      <c r="D8" s="88" t="s">
        <v>510</v>
      </c>
      <c r="E8" s="1" t="s">
        <v>502</v>
      </c>
      <c r="F8" s="1"/>
    </row>
    <row r="9" spans="1:6" ht="24.75" customHeight="1" x14ac:dyDescent="0.25">
      <c r="A9" s="32">
        <v>5</v>
      </c>
      <c r="B9" s="88" t="s">
        <v>508</v>
      </c>
      <c r="C9" s="88" t="s">
        <v>511</v>
      </c>
      <c r="D9" s="88" t="s">
        <v>512</v>
      </c>
      <c r="E9" s="1" t="s">
        <v>502</v>
      </c>
      <c r="F9" s="1"/>
    </row>
    <row r="10" spans="1:6" x14ac:dyDescent="0.25">
      <c r="A10" s="32">
        <v>6</v>
      </c>
      <c r="B10" s="88" t="s">
        <v>63</v>
      </c>
      <c r="C10" s="88" t="s">
        <v>513</v>
      </c>
      <c r="D10" s="88" t="s">
        <v>514</v>
      </c>
      <c r="E10" s="1" t="s">
        <v>502</v>
      </c>
      <c r="F10" s="1"/>
    </row>
    <row r="11" spans="1:6" x14ac:dyDescent="0.25">
      <c r="A11" s="32">
        <v>7</v>
      </c>
      <c r="B11" s="88" t="s">
        <v>515</v>
      </c>
      <c r="C11" s="88" t="s">
        <v>516</v>
      </c>
      <c r="D11" s="88" t="s">
        <v>517</v>
      </c>
      <c r="E11" s="1" t="s">
        <v>502</v>
      </c>
      <c r="F11" s="1"/>
    </row>
    <row r="12" spans="1:6" x14ac:dyDescent="0.25">
      <c r="A12" s="32">
        <v>8</v>
      </c>
      <c r="B12" s="88" t="s">
        <v>518</v>
      </c>
      <c r="C12" s="88" t="s">
        <v>519</v>
      </c>
      <c r="D12" s="88" t="s">
        <v>520</v>
      </c>
      <c r="E12" s="1" t="s">
        <v>502</v>
      </c>
      <c r="F12" s="1"/>
    </row>
    <row r="13" spans="1:6" x14ac:dyDescent="0.25">
      <c r="A13" s="32">
        <v>9</v>
      </c>
      <c r="B13" s="88" t="s">
        <v>518</v>
      </c>
      <c r="C13" s="88" t="s">
        <v>521</v>
      </c>
      <c r="D13" s="88" t="s">
        <v>522</v>
      </c>
      <c r="E13" s="1" t="s">
        <v>502</v>
      </c>
      <c r="F13" s="1"/>
    </row>
    <row r="14" spans="1:6" x14ac:dyDescent="0.25">
      <c r="A14" s="32">
        <v>10</v>
      </c>
      <c r="B14" s="88" t="s">
        <v>499</v>
      </c>
      <c r="C14" s="88" t="s">
        <v>523</v>
      </c>
      <c r="D14" s="88" t="s">
        <v>524</v>
      </c>
      <c r="E14" s="1" t="s">
        <v>502</v>
      </c>
      <c r="F14" s="1"/>
    </row>
    <row r="15" spans="1:6" ht="24.75" customHeight="1" x14ac:dyDescent="0.25">
      <c r="A15" s="32">
        <v>11</v>
      </c>
      <c r="B15" s="88" t="s">
        <v>525</v>
      </c>
      <c r="C15" s="88" t="s">
        <v>526</v>
      </c>
      <c r="D15" s="88" t="s">
        <v>527</v>
      </c>
      <c r="E15" s="1" t="s">
        <v>502</v>
      </c>
      <c r="F15" s="1"/>
    </row>
    <row r="16" spans="1:6" x14ac:dyDescent="0.25">
      <c r="A16" s="67">
        <v>12</v>
      </c>
      <c r="B16" s="89" t="s">
        <v>528</v>
      </c>
      <c r="C16" s="89" t="s">
        <v>529</v>
      </c>
      <c r="D16" s="89" t="s">
        <v>530</v>
      </c>
      <c r="E16" s="1" t="s">
        <v>531</v>
      </c>
      <c r="F16" s="1"/>
    </row>
    <row r="17" spans="1:6" x14ac:dyDescent="0.25">
      <c r="A17" s="67">
        <v>13</v>
      </c>
      <c r="B17" s="89" t="s">
        <v>532</v>
      </c>
      <c r="C17" s="89" t="s">
        <v>533</v>
      </c>
      <c r="D17" s="89" t="s">
        <v>534</v>
      </c>
      <c r="E17" s="1" t="s">
        <v>531</v>
      </c>
      <c r="F17" s="1"/>
    </row>
    <row r="18" spans="1:6" x14ac:dyDescent="0.25">
      <c r="A18" s="67">
        <v>14</v>
      </c>
      <c r="B18" s="89" t="s">
        <v>532</v>
      </c>
      <c r="C18" s="89" t="s">
        <v>535</v>
      </c>
      <c r="D18" s="89" t="s">
        <v>536</v>
      </c>
      <c r="E18" s="1" t="s">
        <v>531</v>
      </c>
      <c r="F18" s="1"/>
    </row>
    <row r="19" spans="1:6" x14ac:dyDescent="0.25">
      <c r="A19" s="67">
        <v>15</v>
      </c>
      <c r="B19" s="89" t="s">
        <v>537</v>
      </c>
      <c r="C19" s="89" t="s">
        <v>538</v>
      </c>
      <c r="D19" s="89" t="s">
        <v>539</v>
      </c>
      <c r="E19" s="1" t="s">
        <v>531</v>
      </c>
      <c r="F19" s="1"/>
    </row>
    <row r="20" spans="1:6" x14ac:dyDescent="0.25">
      <c r="A20" s="67">
        <v>16</v>
      </c>
      <c r="B20" s="89" t="s">
        <v>540</v>
      </c>
      <c r="C20" s="89" t="s">
        <v>541</v>
      </c>
      <c r="D20" s="89" t="s">
        <v>542</v>
      </c>
      <c r="E20" s="1" t="s">
        <v>531</v>
      </c>
      <c r="F20" s="1"/>
    </row>
    <row r="21" spans="1:6" x14ac:dyDescent="0.25">
      <c r="A21" s="67">
        <v>17</v>
      </c>
      <c r="B21" s="89" t="s">
        <v>532</v>
      </c>
      <c r="C21" s="89" t="s">
        <v>543</v>
      </c>
      <c r="D21" s="89" t="s">
        <v>544</v>
      </c>
      <c r="E21" s="1" t="s">
        <v>531</v>
      </c>
      <c r="F21" s="1"/>
    </row>
  </sheetData>
  <conditionalFormatting sqref="E5:E21">
    <cfRule type="expression" dxfId="4" priority="2">
      <formula>E5="Abierto"</formula>
    </cfRule>
    <cfRule type="expression" dxfId="3" priority="3">
      <formula>E5="Cerrado"</formula>
    </cfRule>
  </conditionalFormatting>
  <dataValidations count="1">
    <dataValidation type="list" allowBlank="1" sqref="E5:E21" xr:uid="{00000000-0002-0000-1300-000000000000}">
      <formula1>"Abierto,Cerrado"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EDB6"/>
  </sheetPr>
  <dimension ref="A1:N20"/>
  <sheetViews>
    <sheetView showGridLines="0" zoomScaleNormal="100" workbookViewId="0"/>
  </sheetViews>
  <sheetFormatPr baseColWidth="10" defaultColWidth="8.7109375" defaultRowHeight="15" x14ac:dyDescent="0.25"/>
  <cols>
    <col min="1" max="1" width="4" customWidth="1"/>
    <col min="2" max="2" width="30" customWidth="1"/>
    <col min="3" max="3" width="34" customWidth="1"/>
    <col min="4" max="4" width="20" customWidth="1"/>
    <col min="5" max="6" width="11" customWidth="1"/>
    <col min="7" max="7" width="9" customWidth="1"/>
    <col min="8" max="8" width="46" customWidth="1"/>
    <col min="9" max="10" width="12" customWidth="1"/>
    <col min="11" max="11" width="16" customWidth="1"/>
    <col min="12" max="12" width="30" customWidth="1"/>
    <col min="13" max="13" width="11" customWidth="1"/>
    <col min="14" max="14" width="26" customWidth="1"/>
  </cols>
  <sheetData>
    <row r="1" spans="1:14" ht="18" x14ac:dyDescent="0.25">
      <c r="A1" s="7" t="s">
        <v>545</v>
      </c>
    </row>
    <row r="2" spans="1:14" x14ac:dyDescent="0.25">
      <c r="A2" s="8" t="s">
        <v>546</v>
      </c>
    </row>
    <row r="4" spans="1:14" ht="31.5" customHeight="1" x14ac:dyDescent="0.25">
      <c r="A4" s="9" t="s">
        <v>47</v>
      </c>
      <c r="B4" s="9" t="s">
        <v>547</v>
      </c>
      <c r="C4" s="9" t="s">
        <v>548</v>
      </c>
      <c r="D4" s="9" t="s">
        <v>549</v>
      </c>
      <c r="E4" s="9" t="s">
        <v>550</v>
      </c>
      <c r="F4" s="9" t="s">
        <v>551</v>
      </c>
      <c r="G4" s="9" t="s">
        <v>552</v>
      </c>
      <c r="H4" s="9" t="s">
        <v>553</v>
      </c>
      <c r="I4" s="9" t="s">
        <v>29</v>
      </c>
      <c r="J4" s="9" t="s">
        <v>554</v>
      </c>
      <c r="K4" s="9" t="s">
        <v>33</v>
      </c>
      <c r="L4" s="9" t="s">
        <v>555</v>
      </c>
      <c r="M4" s="9" t="s">
        <v>34</v>
      </c>
      <c r="N4" s="9" t="s">
        <v>556</v>
      </c>
    </row>
    <row r="5" spans="1:14" ht="48" customHeight="1" x14ac:dyDescent="0.25">
      <c r="A5" s="67">
        <v>1</v>
      </c>
      <c r="B5" s="10" t="s">
        <v>557</v>
      </c>
      <c r="C5" s="1"/>
      <c r="D5" s="1"/>
      <c r="E5" s="90"/>
      <c r="F5" s="90"/>
      <c r="G5" s="15" t="str">
        <f t="shared" ref="G5:G12" si="0">IF(OR(E5="",F5="",E5=0),"",F5/E5)</f>
        <v/>
      </c>
      <c r="H5" s="1"/>
      <c r="I5" s="16" t="str">
        <f t="shared" ref="I5:I12" si="1">IF(G5="","Definir",IF(G5&gt;=0.9,"Verde",IF(G5&gt;=0.7,"Amarillo","Rojo")))</f>
        <v>Definir</v>
      </c>
      <c r="J5" s="1"/>
      <c r="K5" s="1"/>
      <c r="L5" s="1"/>
      <c r="M5" s="17"/>
      <c r="N5" s="1"/>
    </row>
    <row r="6" spans="1:14" ht="48" customHeight="1" x14ac:dyDescent="0.25">
      <c r="A6" s="67">
        <v>2</v>
      </c>
      <c r="B6" s="10" t="s">
        <v>558</v>
      </c>
      <c r="C6" s="1"/>
      <c r="D6" s="1"/>
      <c r="E6" s="90"/>
      <c r="F6" s="90"/>
      <c r="G6" s="15" t="str">
        <f t="shared" si="0"/>
        <v/>
      </c>
      <c r="H6" s="1"/>
      <c r="I6" s="16" t="str">
        <f t="shared" si="1"/>
        <v>Definir</v>
      </c>
      <c r="J6" s="1"/>
      <c r="K6" s="1"/>
      <c r="L6" s="1"/>
      <c r="M6" s="17"/>
      <c r="N6" s="1"/>
    </row>
    <row r="7" spans="1:14" ht="48" customHeight="1" x14ac:dyDescent="0.25">
      <c r="A7" s="67">
        <v>3</v>
      </c>
      <c r="B7" s="10" t="s">
        <v>559</v>
      </c>
      <c r="C7" s="1"/>
      <c r="D7" s="1"/>
      <c r="E7" s="90"/>
      <c r="F7" s="90"/>
      <c r="G7" s="15" t="str">
        <f t="shared" si="0"/>
        <v/>
      </c>
      <c r="H7" s="1" t="s">
        <v>560</v>
      </c>
      <c r="I7" s="16" t="str">
        <f t="shared" si="1"/>
        <v>Definir</v>
      </c>
      <c r="J7" s="1"/>
      <c r="K7" s="1"/>
      <c r="L7" s="1"/>
      <c r="M7" s="17"/>
      <c r="N7" s="1"/>
    </row>
    <row r="8" spans="1:14" ht="48" customHeight="1" x14ac:dyDescent="0.25">
      <c r="A8" s="67">
        <v>4</v>
      </c>
      <c r="B8" s="10" t="s">
        <v>139</v>
      </c>
      <c r="C8" s="1"/>
      <c r="D8" s="1"/>
      <c r="E8" s="90"/>
      <c r="F8" s="90"/>
      <c r="G8" s="15" t="str">
        <f t="shared" si="0"/>
        <v/>
      </c>
      <c r="H8" s="1" t="s">
        <v>561</v>
      </c>
      <c r="I8" s="16" t="str">
        <f t="shared" si="1"/>
        <v>Definir</v>
      </c>
      <c r="J8" s="1"/>
      <c r="K8" s="1"/>
      <c r="L8" s="1"/>
      <c r="M8" s="17"/>
      <c r="N8" s="1"/>
    </row>
    <row r="9" spans="1:14" ht="48" customHeight="1" x14ac:dyDescent="0.25">
      <c r="A9" s="67">
        <v>5</v>
      </c>
      <c r="B9" s="10" t="s">
        <v>562</v>
      </c>
      <c r="C9" s="1"/>
      <c r="D9" s="1"/>
      <c r="E9" s="90"/>
      <c r="F9" s="90"/>
      <c r="G9" s="15" t="str">
        <f t="shared" si="0"/>
        <v/>
      </c>
      <c r="H9" s="1" t="s">
        <v>563</v>
      </c>
      <c r="I9" s="16" t="str">
        <f t="shared" si="1"/>
        <v>Definir</v>
      </c>
      <c r="J9" s="1"/>
      <c r="K9" s="1"/>
      <c r="L9" s="1"/>
      <c r="M9" s="17"/>
      <c r="N9" s="1"/>
    </row>
    <row r="10" spans="1:14" ht="48" customHeight="1" x14ac:dyDescent="0.25">
      <c r="A10" s="67">
        <v>6</v>
      </c>
      <c r="B10" s="10" t="s">
        <v>564</v>
      </c>
      <c r="C10" s="1"/>
      <c r="D10" s="1"/>
      <c r="E10" s="90"/>
      <c r="F10" s="90"/>
      <c r="G10" s="15" t="str">
        <f t="shared" si="0"/>
        <v/>
      </c>
      <c r="H10" s="1" t="s">
        <v>565</v>
      </c>
      <c r="I10" s="16" t="str">
        <f t="shared" si="1"/>
        <v>Definir</v>
      </c>
      <c r="J10" s="1"/>
      <c r="K10" s="1"/>
      <c r="L10" s="1"/>
      <c r="M10" s="17"/>
      <c r="N10" s="1"/>
    </row>
    <row r="11" spans="1:14" ht="48" customHeight="1" x14ac:dyDescent="0.25">
      <c r="A11" s="67">
        <v>7</v>
      </c>
      <c r="B11" s="10" t="s">
        <v>566</v>
      </c>
      <c r="C11" s="1"/>
      <c r="D11" s="1"/>
      <c r="E11" s="90"/>
      <c r="F11" s="90"/>
      <c r="G11" s="15" t="str">
        <f t="shared" si="0"/>
        <v/>
      </c>
      <c r="H11" s="1" t="s">
        <v>567</v>
      </c>
      <c r="I11" s="16" t="str">
        <f t="shared" si="1"/>
        <v>Definir</v>
      </c>
      <c r="J11" s="1"/>
      <c r="K11" s="1"/>
      <c r="L11" s="1"/>
      <c r="M11" s="17"/>
      <c r="N11" s="1"/>
    </row>
    <row r="12" spans="1:14" ht="48" customHeight="1" x14ac:dyDescent="0.25">
      <c r="A12" s="67">
        <v>8</v>
      </c>
      <c r="B12" s="10" t="s">
        <v>568</v>
      </c>
      <c r="C12" s="1"/>
      <c r="D12" s="1"/>
      <c r="E12" s="90"/>
      <c r="F12" s="90"/>
      <c r="G12" s="15" t="str">
        <f t="shared" si="0"/>
        <v/>
      </c>
      <c r="H12" s="1" t="s">
        <v>569</v>
      </c>
      <c r="I12" s="16" t="str">
        <f t="shared" si="1"/>
        <v>Definir</v>
      </c>
      <c r="J12" s="1"/>
      <c r="K12" s="1"/>
      <c r="L12" s="1"/>
      <c r="M12" s="17"/>
      <c r="N12" s="1"/>
    </row>
    <row r="14" spans="1:14" x14ac:dyDescent="0.25">
      <c r="A14" s="5" t="s">
        <v>570</v>
      </c>
    </row>
    <row r="15" spans="1:14" x14ac:dyDescent="0.25">
      <c r="B15" s="10" t="s">
        <v>571</v>
      </c>
      <c r="C15" s="67">
        <f>COUNTIF(J5:J12,"Verde")</f>
        <v>0</v>
      </c>
    </row>
    <row r="16" spans="1:14" x14ac:dyDescent="0.25">
      <c r="B16" s="10" t="s">
        <v>572</v>
      </c>
      <c r="C16" s="67">
        <f>COUNTIF(J5:J12,"Amarillo")</f>
        <v>0</v>
      </c>
    </row>
    <row r="17" spans="1:3" x14ac:dyDescent="0.25">
      <c r="B17" s="10" t="s">
        <v>573</v>
      </c>
      <c r="C17" s="67">
        <f>COUNTIF(J5:J12,"Rojo")</f>
        <v>0</v>
      </c>
    </row>
    <row r="18" spans="1:3" x14ac:dyDescent="0.25">
      <c r="B18" s="10" t="s">
        <v>574</v>
      </c>
      <c r="C18" s="67">
        <f>8-COUNTIF(J5:J12,"Verde")-COUNTIF(J5:J12,"Amarillo")-COUNTIF(J5:J12,"Rojo")</f>
        <v>8</v>
      </c>
    </row>
    <row r="20" spans="1:3" x14ac:dyDescent="0.25">
      <c r="A20" s="8" t="s">
        <v>575</v>
      </c>
    </row>
  </sheetData>
  <conditionalFormatting sqref="I5:J12">
    <cfRule type="expression" dxfId="2" priority="2">
      <formula>I5="Verde"</formula>
    </cfRule>
    <cfRule type="expression" dxfId="1" priority="3">
      <formula>I5="Amarillo"</formula>
    </cfRule>
    <cfRule type="expression" dxfId="0" priority="4">
      <formula>I5="Rojo"</formula>
    </cfRule>
  </conditionalFormatting>
  <dataValidations count="1">
    <dataValidation type="list" allowBlank="1" sqref="J5:J12" xr:uid="{00000000-0002-0000-1400-000000000000}">
      <formula1>"Verde,Amarillo,Rojo"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EDB6"/>
  </sheetPr>
  <dimension ref="A1:E22"/>
  <sheetViews>
    <sheetView showGridLines="0" zoomScaleNormal="100" workbookViewId="0"/>
  </sheetViews>
  <sheetFormatPr baseColWidth="10" defaultColWidth="8.7109375" defaultRowHeight="15" x14ac:dyDescent="0.25"/>
  <cols>
    <col min="1" max="1" width="12" customWidth="1"/>
    <col min="2" max="2" width="50" customWidth="1"/>
    <col min="3" max="3" width="16" customWidth="1"/>
    <col min="4" max="4" width="11" customWidth="1"/>
    <col min="5" max="5" width="60" customWidth="1"/>
  </cols>
  <sheetData>
    <row r="1" spans="1:5" ht="18" x14ac:dyDescent="0.25">
      <c r="A1" s="7" t="s">
        <v>576</v>
      </c>
    </row>
    <row r="2" spans="1:5" x14ac:dyDescent="0.25">
      <c r="A2" s="8" t="s">
        <v>577</v>
      </c>
    </row>
    <row r="4" spans="1:5" ht="31.5" customHeight="1" x14ac:dyDescent="0.25">
      <c r="A4" s="9" t="s">
        <v>578</v>
      </c>
      <c r="B4" s="9" t="s">
        <v>23</v>
      </c>
      <c r="C4" s="9" t="s">
        <v>350</v>
      </c>
      <c r="D4" s="9" t="s">
        <v>24</v>
      </c>
      <c r="E4" s="9" t="s">
        <v>579</v>
      </c>
    </row>
    <row r="5" spans="1:5" x14ac:dyDescent="0.25">
      <c r="A5" s="10" t="s">
        <v>580</v>
      </c>
      <c r="B5" s="11" t="s">
        <v>352</v>
      </c>
      <c r="C5" s="22">
        <f>'15_Highlights'!B5</f>
        <v>218</v>
      </c>
      <c r="D5" s="11" t="s">
        <v>353</v>
      </c>
      <c r="E5" s="63" t="s">
        <v>581</v>
      </c>
    </row>
    <row r="6" spans="1:5" x14ac:dyDescent="0.25">
      <c r="A6" s="10" t="s">
        <v>580</v>
      </c>
      <c r="B6" s="11" t="s">
        <v>358</v>
      </c>
      <c r="C6" s="22">
        <f>'15_Highlights'!B9</f>
        <v>122</v>
      </c>
      <c r="D6" s="11" t="s">
        <v>582</v>
      </c>
      <c r="E6" s="63" t="s">
        <v>581</v>
      </c>
    </row>
    <row r="7" spans="1:5" x14ac:dyDescent="0.25">
      <c r="A7" s="10" t="s">
        <v>580</v>
      </c>
      <c r="B7" s="11" t="s">
        <v>354</v>
      </c>
      <c r="C7" s="22">
        <f>'15_Highlights'!B6</f>
        <v>26</v>
      </c>
      <c r="D7" s="11" t="s">
        <v>355</v>
      </c>
      <c r="E7" s="63" t="s">
        <v>581</v>
      </c>
    </row>
    <row r="8" spans="1:5" x14ac:dyDescent="0.25">
      <c r="A8" s="10" t="s">
        <v>580</v>
      </c>
      <c r="B8" s="11" t="s">
        <v>583</v>
      </c>
      <c r="C8" s="13">
        <f>'15_Highlights'!B14</f>
        <v>213427</v>
      </c>
      <c r="D8" s="11" t="s">
        <v>36</v>
      </c>
      <c r="E8" s="63" t="s">
        <v>581</v>
      </c>
    </row>
    <row r="9" spans="1:5" x14ac:dyDescent="0.25">
      <c r="A9" s="10" t="s">
        <v>584</v>
      </c>
      <c r="B9" s="11" t="s">
        <v>585</v>
      </c>
      <c r="C9" s="91"/>
      <c r="D9" s="11" t="s">
        <v>47</v>
      </c>
      <c r="E9" s="63" t="s">
        <v>586</v>
      </c>
    </row>
    <row r="10" spans="1:5" x14ac:dyDescent="0.25">
      <c r="A10" s="10" t="s">
        <v>584</v>
      </c>
      <c r="B10" s="11" t="s">
        <v>587</v>
      </c>
      <c r="C10" s="92"/>
      <c r="D10" s="11" t="s">
        <v>199</v>
      </c>
      <c r="E10" s="63" t="s">
        <v>588</v>
      </c>
    </row>
    <row r="11" spans="1:5" x14ac:dyDescent="0.25">
      <c r="A11" s="10" t="s">
        <v>584</v>
      </c>
      <c r="B11" s="11" t="s">
        <v>589</v>
      </c>
      <c r="C11" s="93">
        <f>SUM(Pipeline!H7:H67)</f>
        <v>23497523.710000001</v>
      </c>
      <c r="D11" s="11" t="s">
        <v>199</v>
      </c>
      <c r="E11" s="63" t="s">
        <v>590</v>
      </c>
    </row>
    <row r="12" spans="1:5" x14ac:dyDescent="0.25">
      <c r="A12" s="10" t="s">
        <v>584</v>
      </c>
      <c r="B12" s="11" t="s">
        <v>591</v>
      </c>
      <c r="C12" s="93">
        <f>SUMIFS(Pipeline!H7:H67,Pipeline!I7:I67,"Closed Won")</f>
        <v>2448057</v>
      </c>
      <c r="D12" s="11" t="s">
        <v>199</v>
      </c>
      <c r="E12" s="63" t="s">
        <v>590</v>
      </c>
    </row>
    <row r="13" spans="1:5" x14ac:dyDescent="0.25">
      <c r="A13" s="10" t="s">
        <v>584</v>
      </c>
      <c r="B13" s="11" t="s">
        <v>592</v>
      </c>
      <c r="C13" s="74">
        <f>IFERROR(C12/C11,0)</f>
        <v>0.10418361654671568</v>
      </c>
      <c r="D13" s="11" t="s">
        <v>41</v>
      </c>
      <c r="E13" s="63" t="s">
        <v>593</v>
      </c>
    </row>
    <row r="14" spans="1:5" x14ac:dyDescent="0.25">
      <c r="A14" s="10" t="s">
        <v>584</v>
      </c>
      <c r="B14" s="11" t="s">
        <v>594</v>
      </c>
      <c r="C14" s="12"/>
      <c r="D14" s="11" t="s">
        <v>36</v>
      </c>
      <c r="E14" s="63" t="s">
        <v>595</v>
      </c>
    </row>
    <row r="15" spans="1:5" x14ac:dyDescent="0.25">
      <c r="A15" s="10" t="s">
        <v>584</v>
      </c>
      <c r="B15" s="11" t="s">
        <v>596</v>
      </c>
      <c r="C15" s="74" t="str">
        <f>IF(C14="","",IFERROR(C14/C8,""))</f>
        <v/>
      </c>
      <c r="D15" s="11" t="s">
        <v>41</v>
      </c>
      <c r="E15" s="63" t="s">
        <v>593</v>
      </c>
    </row>
    <row r="16" spans="1:5" x14ac:dyDescent="0.25">
      <c r="A16" s="10" t="s">
        <v>584</v>
      </c>
      <c r="B16" s="11" t="s">
        <v>597</v>
      </c>
      <c r="C16" s="13">
        <f>'15_Highlights'!B7</f>
        <v>7400</v>
      </c>
      <c r="D16" s="11" t="s">
        <v>36</v>
      </c>
      <c r="E16" s="63" t="s">
        <v>581</v>
      </c>
    </row>
    <row r="17" spans="1:5" x14ac:dyDescent="0.25">
      <c r="A17" s="10" t="s">
        <v>584</v>
      </c>
      <c r="B17" s="11" t="s">
        <v>598</v>
      </c>
      <c r="C17" s="93">
        <f>'15_Highlights'!B8</f>
        <v>197235</v>
      </c>
      <c r="D17" s="11" t="s">
        <v>199</v>
      </c>
      <c r="E17" s="63" t="s">
        <v>581</v>
      </c>
    </row>
    <row r="18" spans="1:5" x14ac:dyDescent="0.25">
      <c r="A18" s="10" t="s">
        <v>584</v>
      </c>
      <c r="B18" s="11" t="s">
        <v>599</v>
      </c>
      <c r="C18" s="13">
        <f>'02_OI'!B7</f>
        <v>160547</v>
      </c>
      <c r="D18" s="11" t="s">
        <v>36</v>
      </c>
      <c r="E18" s="63" t="s">
        <v>600</v>
      </c>
    </row>
    <row r="19" spans="1:5" x14ac:dyDescent="0.25">
      <c r="A19" s="10" t="s">
        <v>584</v>
      </c>
      <c r="B19" s="11" t="s">
        <v>227</v>
      </c>
      <c r="C19" s="13">
        <f>RSM_Resumen_Canales!D11</f>
        <v>1058016</v>
      </c>
      <c r="D19" s="11" t="s">
        <v>36</v>
      </c>
      <c r="E19" s="63" t="s">
        <v>601</v>
      </c>
    </row>
    <row r="20" spans="1:5" x14ac:dyDescent="0.25">
      <c r="A20" s="10" t="s">
        <v>584</v>
      </c>
      <c r="B20" s="11" t="s">
        <v>602</v>
      </c>
      <c r="C20" s="19">
        <f>'02_OI'!B12</f>
        <v>0.27</v>
      </c>
      <c r="D20" s="11" t="s">
        <v>41</v>
      </c>
      <c r="E20" s="63" t="s">
        <v>600</v>
      </c>
    </row>
    <row r="21" spans="1:5" x14ac:dyDescent="0.25">
      <c r="A21" s="10" t="s">
        <v>603</v>
      </c>
      <c r="B21" s="11" t="s">
        <v>604</v>
      </c>
      <c r="C21" s="94">
        <f>IFERROR(C11/C5,0)</f>
        <v>107786.80600917431</v>
      </c>
      <c r="D21" s="11" t="s">
        <v>605</v>
      </c>
      <c r="E21" s="63" t="s">
        <v>593</v>
      </c>
    </row>
    <row r="22" spans="1:5" x14ac:dyDescent="0.25">
      <c r="A22" s="10" t="s">
        <v>603</v>
      </c>
      <c r="B22" s="11" t="s">
        <v>606</v>
      </c>
      <c r="C22" s="75" t="str">
        <f>IF(C9="","",IFERROR(C9/C5*10,""))</f>
        <v/>
      </c>
      <c r="D22" s="11" t="s">
        <v>47</v>
      </c>
      <c r="E22" s="63" t="s">
        <v>593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EDB6"/>
  </sheetPr>
  <dimension ref="A1:H16"/>
  <sheetViews>
    <sheetView showGridLines="0" zoomScaleNormal="100" workbookViewId="0"/>
  </sheetViews>
  <sheetFormatPr baseColWidth="10" defaultColWidth="8.7109375" defaultRowHeight="15" x14ac:dyDescent="0.25"/>
  <cols>
    <col min="1" max="1" width="4" customWidth="1"/>
    <col min="2" max="2" width="60" customWidth="1"/>
    <col min="3" max="3" width="11" customWidth="1"/>
    <col min="4" max="4" width="40" customWidth="1"/>
    <col min="5" max="5" width="18" customWidth="1"/>
    <col min="6" max="7" width="11" customWidth="1"/>
    <col min="8" max="8" width="40" customWidth="1"/>
  </cols>
  <sheetData>
    <row r="1" spans="1:8" ht="18" x14ac:dyDescent="0.25">
      <c r="A1" s="7" t="s">
        <v>607</v>
      </c>
    </row>
    <row r="2" spans="1:8" x14ac:dyDescent="0.25">
      <c r="A2" s="8" t="s">
        <v>608</v>
      </c>
    </row>
    <row r="4" spans="1:8" ht="31.5" customHeight="1" x14ac:dyDescent="0.25">
      <c r="A4" s="9" t="s">
        <v>47</v>
      </c>
      <c r="B4" s="9" t="s">
        <v>609</v>
      </c>
      <c r="C4" s="9" t="s">
        <v>610</v>
      </c>
      <c r="D4" s="9" t="s">
        <v>611</v>
      </c>
      <c r="E4" s="9" t="s">
        <v>33</v>
      </c>
      <c r="F4" s="9" t="s">
        <v>34</v>
      </c>
      <c r="G4" s="9" t="s">
        <v>165</v>
      </c>
      <c r="H4" s="9" t="s">
        <v>612</v>
      </c>
    </row>
    <row r="5" spans="1:8" ht="25.5" x14ac:dyDescent="0.25">
      <c r="A5" s="67">
        <v>1</v>
      </c>
      <c r="B5" s="1" t="s">
        <v>613</v>
      </c>
      <c r="C5" s="1" t="s">
        <v>614</v>
      </c>
      <c r="D5" s="1" t="s">
        <v>615</v>
      </c>
      <c r="E5" s="1"/>
      <c r="F5" s="17"/>
      <c r="G5" s="1" t="s">
        <v>616</v>
      </c>
      <c r="H5" s="1"/>
    </row>
    <row r="6" spans="1:8" ht="25.5" x14ac:dyDescent="0.25">
      <c r="A6" s="67">
        <v>2</v>
      </c>
      <c r="B6" s="1" t="s">
        <v>617</v>
      </c>
      <c r="C6" s="1" t="s">
        <v>618</v>
      </c>
      <c r="D6" s="1" t="s">
        <v>619</v>
      </c>
      <c r="E6" s="1"/>
      <c r="F6" s="17"/>
      <c r="G6" s="1" t="s">
        <v>616</v>
      </c>
      <c r="H6" s="1"/>
    </row>
    <row r="7" spans="1:8" ht="25.5" x14ac:dyDescent="0.25">
      <c r="A7" s="67">
        <v>3</v>
      </c>
      <c r="B7" s="1" t="s">
        <v>620</v>
      </c>
      <c r="C7" s="1" t="s">
        <v>618</v>
      </c>
      <c r="D7" s="1" t="s">
        <v>621</v>
      </c>
      <c r="E7" s="1"/>
      <c r="F7" s="17"/>
      <c r="G7" s="1" t="s">
        <v>616</v>
      </c>
      <c r="H7" s="1"/>
    </row>
    <row r="8" spans="1:8" x14ac:dyDescent="0.25">
      <c r="A8" s="67">
        <v>4</v>
      </c>
      <c r="B8" s="1" t="s">
        <v>622</v>
      </c>
      <c r="C8" s="1" t="s">
        <v>618</v>
      </c>
      <c r="D8" s="1" t="s">
        <v>623</v>
      </c>
      <c r="E8" s="1"/>
      <c r="F8" s="17"/>
      <c r="G8" s="1" t="s">
        <v>616</v>
      </c>
      <c r="H8" s="1"/>
    </row>
    <row r="9" spans="1:8" ht="25.5" x14ac:dyDescent="0.25">
      <c r="A9" s="67">
        <v>5</v>
      </c>
      <c r="B9" s="1" t="s">
        <v>624</v>
      </c>
      <c r="C9" s="1" t="s">
        <v>618</v>
      </c>
      <c r="D9" s="1" t="s">
        <v>625</v>
      </c>
      <c r="E9" s="1"/>
      <c r="F9" s="17"/>
      <c r="G9" s="1" t="s">
        <v>616</v>
      </c>
      <c r="H9" s="1"/>
    </row>
    <row r="10" spans="1:8" x14ac:dyDescent="0.25">
      <c r="A10" s="67">
        <v>6</v>
      </c>
      <c r="B10" s="1"/>
      <c r="C10" s="1"/>
      <c r="D10" s="1"/>
      <c r="E10" s="1"/>
      <c r="F10" s="17"/>
      <c r="G10" s="1"/>
      <c r="H10" s="1"/>
    </row>
    <row r="11" spans="1:8" x14ac:dyDescent="0.25">
      <c r="A11" s="67">
        <v>7</v>
      </c>
      <c r="B11" s="1"/>
      <c r="C11" s="1"/>
      <c r="D11" s="1"/>
      <c r="E11" s="1"/>
      <c r="F11" s="17"/>
      <c r="G11" s="1"/>
      <c r="H11" s="1"/>
    </row>
    <row r="12" spans="1:8" x14ac:dyDescent="0.25">
      <c r="A12" s="67">
        <v>8</v>
      </c>
      <c r="B12" s="1"/>
      <c r="C12" s="1"/>
      <c r="D12" s="1"/>
      <c r="E12" s="1"/>
      <c r="F12" s="17"/>
      <c r="G12" s="1"/>
      <c r="H12" s="1"/>
    </row>
    <row r="13" spans="1:8" x14ac:dyDescent="0.25">
      <c r="A13" s="67">
        <v>9</v>
      </c>
      <c r="B13" s="1"/>
      <c r="C13" s="1"/>
      <c r="D13" s="1"/>
      <c r="E13" s="1"/>
      <c r="F13" s="17"/>
      <c r="G13" s="1"/>
      <c r="H13" s="1"/>
    </row>
    <row r="14" spans="1:8" x14ac:dyDescent="0.25">
      <c r="A14" s="67">
        <v>10</v>
      </c>
      <c r="B14" s="1"/>
      <c r="C14" s="1"/>
      <c r="D14" s="1"/>
      <c r="E14" s="1"/>
      <c r="F14" s="17"/>
      <c r="G14" s="1"/>
      <c r="H14" s="1"/>
    </row>
    <row r="16" spans="1:8" x14ac:dyDescent="0.25">
      <c r="B16" s="10" t="s">
        <v>626</v>
      </c>
      <c r="C16" s="67">
        <f>COUNTIF(G5:G14,"Abierta")+COUNTIF(G5:G14,"En curso")</f>
        <v>5</v>
      </c>
    </row>
  </sheetData>
  <dataValidations count="2">
    <dataValidation type="list" allowBlank="1" sqref="G5:G14" xr:uid="{00000000-0002-0000-1600-000000000000}">
      <formula1>"Abierta,En curso,Cerrada"</formula1>
      <formula2>0</formula2>
    </dataValidation>
    <dataValidation type="list" allowBlank="1" sqref="C5:C14" xr:uid="{00000000-0002-0000-1600-000001000000}">
      <formula1>"Decisión,Acción"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23</vt:i4>
      </vt:variant>
    </vt:vector>
  </HeadingPairs>
  <TitlesOfParts>
    <vt:vector size="23" baseType="lpstr">
      <vt:lpstr>LEEME</vt:lpstr>
      <vt:lpstr>00_Resumen_Ejecutivo</vt:lpstr>
      <vt:lpstr>01_Overview</vt:lpstr>
      <vt:lpstr>02_OI</vt:lpstr>
      <vt:lpstr>03_OI_Canal</vt:lpstr>
      <vt:lpstr>04_Backlog</vt:lpstr>
      <vt:lpstr>05_Backlog_Canal</vt:lpstr>
      <vt:lpstr>06_Perf_Forecast</vt:lpstr>
      <vt:lpstr>07_Top_Opps</vt:lpstr>
      <vt:lpstr>08_Key_Projects</vt:lpstr>
      <vt:lpstr>RSM_Resumen_Canales</vt:lpstr>
      <vt:lpstr>09_RSM_Industrial</vt:lpstr>
      <vt:lpstr>10_RSM_Distribucion</vt:lpstr>
      <vt:lpstr>11_RSM_Otras_Geo</vt:lpstr>
      <vt:lpstr>12_RSM_Cold_Storage</vt:lpstr>
      <vt:lpstr>13_RSM_Site_Cali</vt:lpstr>
      <vt:lpstr>14_RSM_Vtas_Alt</vt:lpstr>
      <vt:lpstr>15_Highlights</vt:lpstr>
      <vt:lpstr>Pipeline</vt:lpstr>
      <vt:lpstr>Validaciones</vt:lpstr>
      <vt:lpstr>16_Iniciativas</vt:lpstr>
      <vt:lpstr>17_Actividad_Impacto</vt:lpstr>
      <vt:lpstr>18_Acciones_Decisiones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Andres Blanco</cp:lastModifiedBy>
  <cp:revision>2</cp:revision>
  <dcterms:created xsi:type="dcterms:W3CDTF">2026-10-02T22:05:38Z</dcterms:created>
  <dcterms:modified xsi:type="dcterms:W3CDTF">2026-10-30T03:58:58Z</dcterms:modified>
  <dc:language>en-US</dc:language>
</cp:coreProperties>
</file>