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ta Detallada" sheetId="1" state="visible" r:id="rId1"/>
    <sheet xmlns:r="http://schemas.openxmlformats.org/officeDocument/2006/relationships" name="Verificación" sheetId="2" state="visible" r:id="rId2"/>
    <sheet xmlns:r="http://schemas.openxmlformats.org/officeDocument/2006/relationships" name="Ejemplo - Lista Detallada" sheetId="3" state="visible" r:id="rId3"/>
    <sheet xmlns:r="http://schemas.openxmlformats.org/officeDocument/2006/relationships" name="Ejemplo - Verificación" sheetId="4" state="visible" r:id="rId4"/>
  </sheets>
  <definedNames>
    <definedName name="_xlnm.Print_Titles" localSheetId="0">'Lista Detallada'!$11:$11</definedName>
    <definedName name="_xlnm.Print_Titles" localSheetId="2">'Ejemplo - Lista Detallada'!$11:$11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14"/>
    </font>
    <font>
      <i val="1"/>
      <color rgb="0050627A"/>
      <sz val="9"/>
    </font>
    <font>
      <b val="1"/>
      <color rgb="000E2F56"/>
      <sz val="9"/>
    </font>
    <font>
      <sz val="9"/>
    </font>
    <font>
      <b val="1"/>
      <color rgb="00FFFFFF"/>
      <sz val="9"/>
    </font>
    <font>
      <color rgb="000E2F56"/>
      <sz val="9"/>
    </font>
    <font>
      <b val="1"/>
      <color rgb="00FFFFFF"/>
    </font>
  </fonts>
  <fills count="7">
    <fill>
      <patternFill/>
    </fill>
    <fill>
      <patternFill patternType="gray125"/>
    </fill>
    <fill>
      <patternFill patternType="solid">
        <fgColor rgb="000E2F56"/>
      </patternFill>
    </fill>
    <fill>
      <patternFill patternType="solid">
        <fgColor rgb="00FFF6D5"/>
      </patternFill>
    </fill>
    <fill>
      <patternFill patternType="solid">
        <fgColor rgb="00E6EAEE"/>
      </patternFill>
    </fill>
    <fill>
      <patternFill patternType="solid">
        <fgColor rgb="00DDE8DA"/>
      </patternFill>
    </fill>
    <fill>
      <patternFill patternType="solid">
        <fgColor rgb="008FAF8C"/>
      </patternFill>
    </fill>
  </fills>
  <borders count="2">
    <border>
      <left/>
      <right/>
      <top/>
      <bottom/>
      <diagonal/>
    </border>
    <border>
      <left style="thin">
        <color rgb="00C5D0DC"/>
      </left>
      <right style="thin">
        <color rgb="00C5D0DC"/>
      </right>
      <top style="thin">
        <color rgb="00C5D0DC"/>
      </top>
      <bottom style="thin">
        <color rgb="00C5D0DC"/>
      </bottom>
    </border>
  </borders>
  <cellStyleXfs count="1">
    <xf numFmtId="0" fontId="0" fillId="0" borderId="0"/>
  </cellStyleXfs>
  <cellXfs count="17">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0" borderId="0" pivotButton="0" quotePrefix="0" xfId="0"/>
    <xf numFmtId="0" fontId="4" fillId="3" borderId="1" pivotButton="0" quotePrefix="0" xfId="0"/>
    <xf numFmtId="0" fontId="5" fillId="2" borderId="1" applyAlignment="1" pivotButton="0" quotePrefix="0" xfId="0">
      <alignment horizontal="center" vertical="center" wrapText="1"/>
    </xf>
    <xf numFmtId="4" fontId="3" fillId="4" borderId="1" pivotButton="0" quotePrefix="0" xfId="0"/>
    <xf numFmtId="0" fontId="4" fillId="3" borderId="1" applyAlignment="1" pivotButton="0" quotePrefix="0" xfId="0">
      <alignment vertical="top" wrapText="1"/>
    </xf>
    <xf numFmtId="0" fontId="6" fillId="0" borderId="0" applyAlignment="1" pivotButton="0" quotePrefix="0" xfId="0">
      <alignment vertical="center" wrapText="1"/>
    </xf>
    <xf numFmtId="4" fontId="4" fillId="3" borderId="1" pivotButton="0" quotePrefix="0" xfId="0"/>
    <xf numFmtId="0" fontId="3" fillId="4" borderId="1" applyAlignment="1" pivotButton="0" quotePrefix="0" xfId="0">
      <alignment horizontal="center"/>
    </xf>
    <xf numFmtId="0" fontId="3" fillId="5" borderId="1" applyAlignment="1" pivotButton="0" quotePrefix="0" xfId="0">
      <alignment horizontal="right"/>
    </xf>
    <xf numFmtId="0" fontId="3" fillId="5" borderId="1" pivotButton="0" quotePrefix="0" xfId="0"/>
    <xf numFmtId="4" fontId="3" fillId="5" borderId="1" pivotButton="0" quotePrefix="0" xfId="0"/>
    <xf numFmtId="0" fontId="7" fillId="6" borderId="0" pivotButton="0" quotePrefix="0" xfId="0"/>
    <xf numFmtId="0" fontId="6" fillId="0" borderId="0" pivotButton="0" quotePrefix="0" xfId="0"/>
    <xf numFmtId="0" fontId="6" fillId="5" borderId="0" applyAlignment="1" pivotButton="0" quotePrefix="0" xfId="0">
      <alignment vertical="center" wrapText="1"/>
    </xf>
  </cellXfs>
  <cellStyles count="1">
    <cellStyle name="Normal" xfId="0" builtinId="0" hidden="0"/>
  </cellStyles>
  <dxfs count="2">
    <dxf>
      <font>
        <b val="1"/>
        <color rgb="002F6B2C"/>
      </font>
      <fill>
        <patternFill patternType="solid">
          <fgColor rgb="00CFE3CC"/>
        </patternFill>
      </fill>
    </dxf>
    <dxf>
      <font>
        <b val="1"/>
        <color rgb="00A33A24"/>
      </font>
      <fill>
        <patternFill patternType="solid">
          <fgColor rgb="00F6D3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61"/>
  <sheetViews>
    <sheetView showGridLines="0" workbookViewId="0">
      <pane ySplit="11" topLeftCell="A12" activePane="bottomLeft" state="frozen"/>
      <selection pane="bottomLeft" activeCell="A1" sqref="A1"/>
    </sheetView>
  </sheetViews>
  <sheetFormatPr baseColWidth="8" defaultRowHeight="15"/>
  <cols>
    <col width="9" customWidth="1" min="1" max="1"/>
    <col width="42" customWidth="1" min="2" max="2"/>
    <col width="7" customWidth="1" min="3" max="3"/>
    <col width="10" customWidth="1" min="4" max="4"/>
    <col width="12" customWidth="1" min="5" max="5"/>
    <col width="10" customWidth="1" min="6" max="6"/>
    <col width="10" customWidth="1" min="7" max="7"/>
    <col width="11" customWidth="1" min="8" max="8"/>
    <col width="11" customWidth="1" min="9" max="9"/>
    <col width="28" customWidth="1" min="10" max="10"/>
  </cols>
  <sheetData>
    <row r="1" ht="28" customHeight="1">
      <c r="A1" s="1" t="inlineStr">
        <is>
          <t>KAIR by Kingspan · LISTA DETALLADA DE EMPAQUE (PACKING LIST)</t>
        </is>
      </c>
    </row>
    <row r="2">
      <c r="A2" s="2" t="inlineStr">
        <is>
          <t>Política de Devolución de Producto KAIR - Versión 1 - 29-09-2026 · Celdas amarillas: diligenciar</t>
        </is>
      </c>
    </row>
    <row r="4" ht="18" customHeight="1">
      <c r="A4" s="3" t="inlineStr">
        <is>
          <t>Fecha</t>
        </is>
      </c>
      <c r="B4" s="4" t="n"/>
      <c r="C4" s="3" t="inlineStr">
        <is>
          <t>N° Remisión</t>
        </is>
      </c>
      <c r="E4" s="4" t="n"/>
    </row>
    <row r="5" ht="18" customHeight="1">
      <c r="A5" s="3" t="inlineStr">
        <is>
          <t>P.V. Nro.</t>
        </is>
      </c>
      <c r="B5" s="4" t="n"/>
      <c r="C5" s="3" t="inlineStr">
        <is>
          <t>Cliente</t>
        </is>
      </c>
      <c r="E5" s="4" t="n"/>
    </row>
    <row r="6" ht="18" customHeight="1">
      <c r="A6" s="3" t="inlineStr">
        <is>
          <t>Dirección de entrega</t>
        </is>
      </c>
      <c r="B6" s="4" t="n"/>
      <c r="C6" s="3" t="inlineStr">
        <is>
          <t>Ciudad</t>
        </is>
      </c>
      <c r="E6" s="4" t="n"/>
    </row>
    <row r="7" ht="18" customHeight="1">
      <c r="A7" s="3" t="inlineStr">
        <is>
          <t>Contacto en obra</t>
        </is>
      </c>
      <c r="B7" s="4" t="n"/>
      <c r="C7" s="3" t="inlineStr">
        <is>
          <t>Teléfono</t>
        </is>
      </c>
      <c r="E7" s="4" t="n"/>
    </row>
    <row r="8" ht="18" customHeight="1">
      <c r="A8" s="3" t="inlineStr">
        <is>
          <t>Transportadora</t>
        </is>
      </c>
      <c r="B8" s="4" t="n"/>
      <c r="C8" s="3" t="inlineStr">
        <is>
          <t>Placa</t>
        </is>
      </c>
      <c r="E8" s="4" t="n"/>
    </row>
    <row r="9" ht="18" customHeight="1">
      <c r="A9" s="3" t="inlineStr">
        <is>
          <t>Conductor</t>
        </is>
      </c>
      <c r="B9" s="4" t="n"/>
      <c r="C9" s="3" t="inlineStr">
        <is>
          <t>Tipo de vehículo</t>
        </is>
      </c>
      <c r="E9" s="4" t="n"/>
    </row>
    <row r="11" ht="30" customHeight="1">
      <c r="A11" s="5" t="inlineStr">
        <is>
          <t>Ítem (código)</t>
        </is>
      </c>
      <c r="B11" s="5" t="inlineStr">
        <is>
          <t>Descripción</t>
        </is>
      </c>
      <c r="C11" s="5" t="inlineStr">
        <is>
          <t>U.M.</t>
        </is>
      </c>
      <c r="D11" s="5" t="inlineStr">
        <is>
          <t>N° Paquete</t>
        </is>
      </c>
      <c r="E11" s="5" t="inlineStr">
        <is>
          <t>Longitud (mm)</t>
        </is>
      </c>
      <c r="F11" s="5" t="inlineStr">
        <is>
          <t>Ancho útil (m)</t>
        </is>
      </c>
      <c r="G11" s="5" t="inlineStr">
        <is>
          <t>Cantidad (und)</t>
        </is>
      </c>
      <c r="H11" s="5" t="inlineStr">
        <is>
          <t>Total</t>
        </is>
      </c>
      <c r="I11" s="5" t="inlineStr">
        <is>
          <t>Recibido (Sí/No)</t>
        </is>
      </c>
      <c r="J11" s="5" t="inlineStr">
        <is>
          <t>Observación</t>
        </is>
      </c>
    </row>
    <row r="12">
      <c r="A12" s="4" t="n"/>
      <c r="B12" s="4" t="n"/>
      <c r="C12" s="4" t="n"/>
      <c r="D12" s="4" t="n"/>
      <c r="E12" s="4" t="n"/>
      <c r="F12" s="4" t="n"/>
      <c r="G12" s="4" t="n"/>
      <c r="H12" s="6">
        <f>IF(G12="","",IF(C12="UND",G12,IF(C12="M2",E12/1000*IF(F12="",1,F12)*G12,E12/1000*G12)))</f>
        <v/>
      </c>
      <c r="I12" s="4" t="n"/>
      <c r="J12" s="4" t="n"/>
    </row>
    <row r="13">
      <c r="A13" s="4" t="n"/>
      <c r="B13" s="4" t="n"/>
      <c r="C13" s="4" t="n"/>
      <c r="D13" s="4" t="n"/>
      <c r="E13" s="4" t="n"/>
      <c r="F13" s="4" t="n"/>
      <c r="G13" s="4" t="n"/>
      <c r="H13" s="6">
        <f>IF(G13="","",IF(C13="UND",G13,IF(C13="M2",E13/1000*IF(F13="",1,F13)*G13,E13/1000*G13)))</f>
        <v/>
      </c>
      <c r="I13" s="4" t="n"/>
      <c r="J13" s="4" t="n"/>
    </row>
    <row r="14">
      <c r="A14" s="4" t="n"/>
      <c r="B14" s="4" t="n"/>
      <c r="C14" s="4" t="n"/>
      <c r="D14" s="4" t="n"/>
      <c r="E14" s="4" t="n"/>
      <c r="F14" s="4" t="n"/>
      <c r="G14" s="4" t="n"/>
      <c r="H14" s="6">
        <f>IF(G14="","",IF(C14="UND",G14,IF(C14="M2",E14/1000*IF(F14="",1,F14)*G14,E14/1000*G14)))</f>
        <v/>
      </c>
      <c r="I14" s="4" t="n"/>
      <c r="J14" s="4" t="n"/>
    </row>
    <row r="15">
      <c r="A15" s="4" t="n"/>
      <c r="B15" s="4" t="n"/>
      <c r="C15" s="4" t="n"/>
      <c r="D15" s="4" t="n"/>
      <c r="E15" s="4" t="n"/>
      <c r="F15" s="4" t="n"/>
      <c r="G15" s="4" t="n"/>
      <c r="H15" s="6">
        <f>IF(G15="","",IF(C15="UND",G15,IF(C15="M2",E15/1000*IF(F15="",1,F15)*G15,E15/1000*G15)))</f>
        <v/>
      </c>
      <c r="I15" s="4" t="n"/>
      <c r="J15" s="4" t="n"/>
    </row>
    <row r="16">
      <c r="A16" s="4" t="n"/>
      <c r="B16" s="4" t="n"/>
      <c r="C16" s="4" t="n"/>
      <c r="D16" s="4" t="n"/>
      <c r="E16" s="4" t="n"/>
      <c r="F16" s="4" t="n"/>
      <c r="G16" s="4" t="n"/>
      <c r="H16" s="6">
        <f>IF(G16="","",IF(C16="UND",G16,IF(C16="M2",E16/1000*IF(F16="",1,F16)*G16,E16/1000*G16)))</f>
        <v/>
      </c>
      <c r="I16" s="4" t="n"/>
      <c r="J16" s="4" t="n"/>
    </row>
    <row r="17">
      <c r="A17" s="4" t="n"/>
      <c r="B17" s="4" t="n"/>
      <c r="C17" s="4" t="n"/>
      <c r="D17" s="4" t="n"/>
      <c r="E17" s="4" t="n"/>
      <c r="F17" s="4" t="n"/>
      <c r="G17" s="4" t="n"/>
      <c r="H17" s="6">
        <f>IF(G17="","",IF(C17="UND",G17,IF(C17="M2",E17/1000*IF(F17="",1,F17)*G17,E17/1000*G17)))</f>
        <v/>
      </c>
      <c r="I17" s="4" t="n"/>
      <c r="J17" s="4" t="n"/>
    </row>
    <row r="18">
      <c r="A18" s="4" t="n"/>
      <c r="B18" s="4" t="n"/>
      <c r="C18" s="4" t="n"/>
      <c r="D18" s="4" t="n"/>
      <c r="E18" s="4" t="n"/>
      <c r="F18" s="4" t="n"/>
      <c r="G18" s="4" t="n"/>
      <c r="H18" s="6">
        <f>IF(G18="","",IF(C18="UND",G18,IF(C18="M2",E18/1000*IF(F18="",1,F18)*G18,E18/1000*G18)))</f>
        <v/>
      </c>
      <c r="I18" s="4" t="n"/>
      <c r="J18" s="4" t="n"/>
    </row>
    <row r="19">
      <c r="A19" s="4" t="n"/>
      <c r="B19" s="4" t="n"/>
      <c r="C19" s="4" t="n"/>
      <c r="D19" s="4" t="n"/>
      <c r="E19" s="4" t="n"/>
      <c r="F19" s="4" t="n"/>
      <c r="G19" s="4" t="n"/>
      <c r="H19" s="6">
        <f>IF(G19="","",IF(C19="UND",G19,IF(C19="M2",E19/1000*IF(F19="",1,F19)*G19,E19/1000*G19)))</f>
        <v/>
      </c>
      <c r="I19" s="4" t="n"/>
      <c r="J19" s="4" t="n"/>
    </row>
    <row r="20">
      <c r="A20" s="4" t="n"/>
      <c r="B20" s="4" t="n"/>
      <c r="C20" s="4" t="n"/>
      <c r="D20" s="4" t="n"/>
      <c r="E20" s="4" t="n"/>
      <c r="F20" s="4" t="n"/>
      <c r="G20" s="4" t="n"/>
      <c r="H20" s="6">
        <f>IF(G20="","",IF(C20="UND",G20,IF(C20="M2",E20/1000*IF(F20="",1,F20)*G20,E20/1000*G20)))</f>
        <v/>
      </c>
      <c r="I20" s="4" t="n"/>
      <c r="J20" s="4" t="n"/>
    </row>
    <row r="21">
      <c r="A21" s="4" t="n"/>
      <c r="B21" s="4" t="n"/>
      <c r="C21" s="4" t="n"/>
      <c r="D21" s="4" t="n"/>
      <c r="E21" s="4" t="n"/>
      <c r="F21" s="4" t="n"/>
      <c r="G21" s="4" t="n"/>
      <c r="H21" s="6">
        <f>IF(G21="","",IF(C21="UND",G21,IF(C21="M2",E21/1000*IF(F21="",1,F21)*G21,E21/1000*G21)))</f>
        <v/>
      </c>
      <c r="I21" s="4" t="n"/>
      <c r="J21" s="4" t="n"/>
    </row>
    <row r="22">
      <c r="A22" s="4" t="n"/>
      <c r="B22" s="4" t="n"/>
      <c r="C22" s="4" t="n"/>
      <c r="D22" s="4" t="n"/>
      <c r="E22" s="4" t="n"/>
      <c r="F22" s="4" t="n"/>
      <c r="G22" s="4" t="n"/>
      <c r="H22" s="6">
        <f>IF(G22="","",IF(C22="UND",G22,IF(C22="M2",E22/1000*IF(F22="",1,F22)*G22,E22/1000*G22)))</f>
        <v/>
      </c>
      <c r="I22" s="4" t="n"/>
      <c r="J22" s="4" t="n"/>
    </row>
    <row r="23">
      <c r="A23" s="4" t="n"/>
      <c r="B23" s="4" t="n"/>
      <c r="C23" s="4" t="n"/>
      <c r="D23" s="4" t="n"/>
      <c r="E23" s="4" t="n"/>
      <c r="F23" s="4" t="n"/>
      <c r="G23" s="4" t="n"/>
      <c r="H23" s="6">
        <f>IF(G23="","",IF(C23="UND",G23,IF(C23="M2",E23/1000*IF(F23="",1,F23)*G23,E23/1000*G23)))</f>
        <v/>
      </c>
      <c r="I23" s="4" t="n"/>
      <c r="J23" s="4" t="n"/>
    </row>
    <row r="24">
      <c r="A24" s="4" t="n"/>
      <c r="B24" s="4" t="n"/>
      <c r="C24" s="4" t="n"/>
      <c r="D24" s="4" t="n"/>
      <c r="E24" s="4" t="n"/>
      <c r="F24" s="4" t="n"/>
      <c r="G24" s="4" t="n"/>
      <c r="H24" s="6">
        <f>IF(G24="","",IF(C24="UND",G24,IF(C24="M2",E24/1000*IF(F24="",1,F24)*G24,E24/1000*G24)))</f>
        <v/>
      </c>
      <c r="I24" s="4" t="n"/>
      <c r="J24" s="4" t="n"/>
    </row>
    <row r="25">
      <c r="A25" s="4" t="n"/>
      <c r="B25" s="4" t="n"/>
      <c r="C25" s="4" t="n"/>
      <c r="D25" s="4" t="n"/>
      <c r="E25" s="4" t="n"/>
      <c r="F25" s="4" t="n"/>
      <c r="G25" s="4" t="n"/>
      <c r="H25" s="6">
        <f>IF(G25="","",IF(C25="UND",G25,IF(C25="M2",E25/1000*IF(F25="",1,F25)*G25,E25/1000*G25)))</f>
        <v/>
      </c>
      <c r="I25" s="4" t="n"/>
      <c r="J25" s="4" t="n"/>
    </row>
    <row r="26">
      <c r="A26" s="4" t="n"/>
      <c r="B26" s="4" t="n"/>
      <c r="C26" s="4" t="n"/>
      <c r="D26" s="4" t="n"/>
      <c r="E26" s="4" t="n"/>
      <c r="F26" s="4" t="n"/>
      <c r="G26" s="4" t="n"/>
      <c r="H26" s="6">
        <f>IF(G26="","",IF(C26="UND",G26,IF(C26="M2",E26/1000*IF(F26="",1,F26)*G26,E26/1000*G26)))</f>
        <v/>
      </c>
      <c r="I26" s="4" t="n"/>
      <c r="J26" s="4" t="n"/>
    </row>
    <row r="27">
      <c r="A27" s="4" t="n"/>
      <c r="B27" s="4" t="n"/>
      <c r="C27" s="4" t="n"/>
      <c r="D27" s="4" t="n"/>
      <c r="E27" s="4" t="n"/>
      <c r="F27" s="4" t="n"/>
      <c r="G27" s="4" t="n"/>
      <c r="H27" s="6">
        <f>IF(G27="","",IF(C27="UND",G27,IF(C27="M2",E27/1000*IF(F27="",1,F27)*G27,E27/1000*G27)))</f>
        <v/>
      </c>
      <c r="I27" s="4" t="n"/>
      <c r="J27" s="4" t="n"/>
    </row>
    <row r="28">
      <c r="A28" s="4" t="n"/>
      <c r="B28" s="4" t="n"/>
      <c r="C28" s="4" t="n"/>
      <c r="D28" s="4" t="n"/>
      <c r="E28" s="4" t="n"/>
      <c r="F28" s="4" t="n"/>
      <c r="G28" s="4" t="n"/>
      <c r="H28" s="6">
        <f>IF(G28="","",IF(C28="UND",G28,IF(C28="M2",E28/1000*IF(F28="",1,F28)*G28,E28/1000*G28)))</f>
        <v/>
      </c>
      <c r="I28" s="4" t="n"/>
      <c r="J28" s="4" t="n"/>
    </row>
    <row r="29">
      <c r="A29" s="4" t="n"/>
      <c r="B29" s="4" t="n"/>
      <c r="C29" s="4" t="n"/>
      <c r="D29" s="4" t="n"/>
      <c r="E29" s="4" t="n"/>
      <c r="F29" s="4" t="n"/>
      <c r="G29" s="4" t="n"/>
      <c r="H29" s="6">
        <f>IF(G29="","",IF(C29="UND",G29,IF(C29="M2",E29/1000*IF(F29="",1,F29)*G29,E29/1000*G29)))</f>
        <v/>
      </c>
      <c r="I29" s="4" t="n"/>
      <c r="J29" s="4" t="n"/>
    </row>
    <row r="30">
      <c r="A30" s="4" t="n"/>
      <c r="B30" s="4" t="n"/>
      <c r="C30" s="4" t="n"/>
      <c r="D30" s="4" t="n"/>
      <c r="E30" s="4" t="n"/>
      <c r="F30" s="4" t="n"/>
      <c r="G30" s="4" t="n"/>
      <c r="H30" s="6">
        <f>IF(G30="","",IF(C30="UND",G30,IF(C30="M2",E30/1000*IF(F30="",1,F30)*G30,E30/1000*G30)))</f>
        <v/>
      </c>
      <c r="I30" s="4" t="n"/>
      <c r="J30" s="4" t="n"/>
    </row>
    <row r="31">
      <c r="A31" s="4" t="n"/>
      <c r="B31" s="4" t="n"/>
      <c r="C31" s="4" t="n"/>
      <c r="D31" s="4" t="n"/>
      <c r="E31" s="4" t="n"/>
      <c r="F31" s="4" t="n"/>
      <c r="G31" s="4" t="n"/>
      <c r="H31" s="6">
        <f>IF(G31="","",IF(C31="UND",G31,IF(C31="M2",E31/1000*IF(F31="",1,F31)*G31,E31/1000*G31)))</f>
        <v/>
      </c>
      <c r="I31" s="4" t="n"/>
      <c r="J31" s="4" t="n"/>
    </row>
    <row r="32">
      <c r="A32" s="4" t="n"/>
      <c r="B32" s="4" t="n"/>
      <c r="C32" s="4" t="n"/>
      <c r="D32" s="4" t="n"/>
      <c r="E32" s="4" t="n"/>
      <c r="F32" s="4" t="n"/>
      <c r="G32" s="4" t="n"/>
      <c r="H32" s="6">
        <f>IF(G32="","",IF(C32="UND",G32,IF(C32="M2",E32/1000*IF(F32="",1,F32)*G32,E32/1000*G32)))</f>
        <v/>
      </c>
      <c r="I32" s="4" t="n"/>
      <c r="J32" s="4" t="n"/>
    </row>
    <row r="33">
      <c r="A33" s="4" t="n"/>
      <c r="B33" s="4" t="n"/>
      <c r="C33" s="4" t="n"/>
      <c r="D33" s="4" t="n"/>
      <c r="E33" s="4" t="n"/>
      <c r="F33" s="4" t="n"/>
      <c r="G33" s="4" t="n"/>
      <c r="H33" s="6">
        <f>IF(G33="","",IF(C33="UND",G33,IF(C33="M2",E33/1000*IF(F33="",1,F33)*G33,E33/1000*G33)))</f>
        <v/>
      </c>
      <c r="I33" s="4" t="n"/>
      <c r="J33" s="4" t="n"/>
    </row>
    <row r="34">
      <c r="A34" s="4" t="n"/>
      <c r="B34" s="4" t="n"/>
      <c r="C34" s="4" t="n"/>
      <c r="D34" s="4" t="n"/>
      <c r="E34" s="4" t="n"/>
      <c r="F34" s="4" t="n"/>
      <c r="G34" s="4" t="n"/>
      <c r="H34" s="6">
        <f>IF(G34="","",IF(C34="UND",G34,IF(C34="M2",E34/1000*IF(F34="",1,F34)*G34,E34/1000*G34)))</f>
        <v/>
      </c>
      <c r="I34" s="4" t="n"/>
      <c r="J34" s="4" t="n"/>
    </row>
    <row r="35">
      <c r="A35" s="4" t="n"/>
      <c r="B35" s="4" t="n"/>
      <c r="C35" s="4" t="n"/>
      <c r="D35" s="4" t="n"/>
      <c r="E35" s="4" t="n"/>
      <c r="F35" s="4" t="n"/>
      <c r="G35" s="4" t="n"/>
      <c r="H35" s="6">
        <f>IF(G35="","",IF(C35="UND",G35,IF(C35="M2",E35/1000*IF(F35="",1,F35)*G35,E35/1000*G35)))</f>
        <v/>
      </c>
      <c r="I35" s="4" t="n"/>
      <c r="J35" s="4" t="n"/>
    </row>
    <row r="36">
      <c r="A36" s="4" t="n"/>
      <c r="B36" s="4" t="n"/>
      <c r="C36" s="4" t="n"/>
      <c r="D36" s="4" t="n"/>
      <c r="E36" s="4" t="n"/>
      <c r="F36" s="4" t="n"/>
      <c r="G36" s="4" t="n"/>
      <c r="H36" s="6">
        <f>IF(G36="","",IF(C36="UND",G36,IF(C36="M2",E36/1000*IF(F36="",1,F36)*G36,E36/1000*G36)))</f>
        <v/>
      </c>
      <c r="I36" s="4" t="n"/>
      <c r="J36" s="4" t="n"/>
    </row>
    <row r="37">
      <c r="A37" s="4" t="n"/>
      <c r="B37" s="4" t="n"/>
      <c r="C37" s="4" t="n"/>
      <c r="D37" s="4" t="n"/>
      <c r="E37" s="4" t="n"/>
      <c r="F37" s="4" t="n"/>
      <c r="G37" s="4" t="n"/>
      <c r="H37" s="6">
        <f>IF(G37="","",IF(C37="UND",G37,IF(C37="M2",E37/1000*IF(F37="",1,F37)*G37,E37/1000*G37)))</f>
        <v/>
      </c>
      <c r="I37" s="4" t="n"/>
      <c r="J37" s="4" t="n"/>
    </row>
    <row r="38">
      <c r="A38" s="4" t="n"/>
      <c r="B38" s="4" t="n"/>
      <c r="C38" s="4" t="n"/>
      <c r="D38" s="4" t="n"/>
      <c r="E38" s="4" t="n"/>
      <c r="F38" s="4" t="n"/>
      <c r="G38" s="4" t="n"/>
      <c r="H38" s="6">
        <f>IF(G38="","",IF(C38="UND",G38,IF(C38="M2",E38/1000*IF(F38="",1,F38)*G38,E38/1000*G38)))</f>
        <v/>
      </c>
      <c r="I38" s="4" t="n"/>
      <c r="J38" s="4" t="n"/>
    </row>
    <row r="39">
      <c r="A39" s="4" t="n"/>
      <c r="B39" s="4" t="n"/>
      <c r="C39" s="4" t="n"/>
      <c r="D39" s="4" t="n"/>
      <c r="E39" s="4" t="n"/>
      <c r="F39" s="4" t="n"/>
      <c r="G39" s="4" t="n"/>
      <c r="H39" s="6">
        <f>IF(G39="","",IF(C39="UND",G39,IF(C39="M2",E39/1000*IF(F39="",1,F39)*G39,E39/1000*G39)))</f>
        <v/>
      </c>
      <c r="I39" s="4" t="n"/>
      <c r="J39" s="4" t="n"/>
    </row>
    <row r="40">
      <c r="A40" s="4" t="n"/>
      <c r="B40" s="4" t="n"/>
      <c r="C40" s="4" t="n"/>
      <c r="D40" s="4" t="n"/>
      <c r="E40" s="4" t="n"/>
      <c r="F40" s="4" t="n"/>
      <c r="G40" s="4" t="n"/>
      <c r="H40" s="6">
        <f>IF(G40="","",IF(C40="UND",G40,IF(C40="M2",E40/1000*IF(F40="",1,F40)*G40,E40/1000*G40)))</f>
        <v/>
      </c>
      <c r="I40" s="4" t="n"/>
      <c r="J40" s="4" t="n"/>
    </row>
    <row r="41">
      <c r="A41" s="4" t="n"/>
      <c r="B41" s="4" t="n"/>
      <c r="C41" s="4" t="n"/>
      <c r="D41" s="4" t="n"/>
      <c r="E41" s="4" t="n"/>
      <c r="F41" s="4" t="n"/>
      <c r="G41" s="4" t="n"/>
      <c r="H41" s="6">
        <f>IF(G41="","",IF(C41="UND",G41,IF(C41="M2",E41/1000*IF(F41="",1,F41)*G41,E41/1000*G41)))</f>
        <v/>
      </c>
      <c r="I41" s="4" t="n"/>
      <c r="J41" s="4" t="n"/>
    </row>
    <row r="42">
      <c r="A42" s="4" t="n"/>
      <c r="B42" s="4" t="n"/>
      <c r="C42" s="4" t="n"/>
      <c r="D42" s="4" t="n"/>
      <c r="E42" s="4" t="n"/>
      <c r="F42" s="4" t="n"/>
      <c r="G42" s="4" t="n"/>
      <c r="H42" s="6">
        <f>IF(G42="","",IF(C42="UND",G42,IF(C42="M2",E42/1000*IF(F42="",1,F42)*G42,E42/1000*G42)))</f>
        <v/>
      </c>
      <c r="I42" s="4" t="n"/>
      <c r="J42" s="4" t="n"/>
    </row>
    <row r="43">
      <c r="A43" s="4" t="n"/>
      <c r="B43" s="4" t="n"/>
      <c r="C43" s="4" t="n"/>
      <c r="D43" s="4" t="n"/>
      <c r="E43" s="4" t="n"/>
      <c r="F43" s="4" t="n"/>
      <c r="G43" s="4" t="n"/>
      <c r="H43" s="6">
        <f>IF(G43="","",IF(C43="UND",G43,IF(C43="M2",E43/1000*IF(F43="",1,F43)*G43,E43/1000*G43)))</f>
        <v/>
      </c>
      <c r="I43" s="4" t="n"/>
      <c r="J43" s="4" t="n"/>
    </row>
    <row r="44">
      <c r="A44" s="4" t="n"/>
      <c r="B44" s="4" t="n"/>
      <c r="C44" s="4" t="n"/>
      <c r="D44" s="4" t="n"/>
      <c r="E44" s="4" t="n"/>
      <c r="F44" s="4" t="n"/>
      <c r="G44" s="4" t="n"/>
      <c r="H44" s="6">
        <f>IF(G44="","",IF(C44="UND",G44,IF(C44="M2",E44/1000*IF(F44="",1,F44)*G44,E44/1000*G44)))</f>
        <v/>
      </c>
      <c r="I44" s="4" t="n"/>
      <c r="J44" s="4" t="n"/>
    </row>
    <row r="45">
      <c r="A45" s="4" t="n"/>
      <c r="B45" s="4" t="n"/>
      <c r="C45" s="4" t="n"/>
      <c r="D45" s="4" t="n"/>
      <c r="E45" s="4" t="n"/>
      <c r="F45" s="4" t="n"/>
      <c r="G45" s="4" t="n"/>
      <c r="H45" s="6">
        <f>IF(G45="","",IF(C45="UND",G45,IF(C45="M2",E45/1000*IF(F45="",1,F45)*G45,E45/1000*G45)))</f>
        <v/>
      </c>
      <c r="I45" s="4" t="n"/>
      <c r="J45" s="4" t="n"/>
    </row>
    <row r="46">
      <c r="A46" s="4" t="n"/>
      <c r="B46" s="4" t="n"/>
      <c r="C46" s="4" t="n"/>
      <c r="D46" s="4" t="n"/>
      <c r="E46" s="4" t="n"/>
      <c r="F46" s="4" t="n"/>
      <c r="G46" s="4" t="n"/>
      <c r="H46" s="6">
        <f>IF(G46="","",IF(C46="UND",G46,IF(C46="M2",E46/1000*IF(F46="",1,F46)*G46,E46/1000*G46)))</f>
        <v/>
      </c>
      <c r="I46" s="4" t="n"/>
      <c r="J46" s="4" t="n"/>
    </row>
    <row r="47">
      <c r="A47" s="4" t="n"/>
      <c r="B47" s="4" t="n"/>
      <c r="C47" s="4" t="n"/>
      <c r="D47" s="4" t="n"/>
      <c r="E47" s="4" t="n"/>
      <c r="F47" s="4" t="n"/>
      <c r="G47" s="4" t="n"/>
      <c r="H47" s="6">
        <f>IF(G47="","",IF(C47="UND",G47,IF(C47="M2",E47/1000*IF(F47="",1,F47)*G47,E47/1000*G47)))</f>
        <v/>
      </c>
      <c r="I47" s="4" t="n"/>
      <c r="J47" s="4" t="n"/>
    </row>
    <row r="48">
      <c r="A48" s="4" t="n"/>
      <c r="B48" s="4" t="n"/>
      <c r="C48" s="4" t="n"/>
      <c r="D48" s="4" t="n"/>
      <c r="E48" s="4" t="n"/>
      <c r="F48" s="4" t="n"/>
      <c r="G48" s="4" t="n"/>
      <c r="H48" s="6">
        <f>IF(G48="","",IF(C48="UND",G48,IF(C48="M2",E48/1000*IF(F48="",1,F48)*G48,E48/1000*G48)))</f>
        <v/>
      </c>
      <c r="I48" s="4" t="n"/>
      <c r="J48" s="4" t="n"/>
    </row>
    <row r="49">
      <c r="A49" s="4" t="n"/>
      <c r="B49" s="4" t="n"/>
      <c r="C49" s="4" t="n"/>
      <c r="D49" s="4" t="n"/>
      <c r="E49" s="4" t="n"/>
      <c r="F49" s="4" t="n"/>
      <c r="G49" s="4" t="n"/>
      <c r="H49" s="6">
        <f>IF(G49="","",IF(C49="UND",G49,IF(C49="M2",E49/1000*IF(F49="",1,F49)*G49,E49/1000*G49)))</f>
        <v/>
      </c>
      <c r="I49" s="4" t="n"/>
      <c r="J49" s="4" t="n"/>
    </row>
    <row r="50">
      <c r="A50" s="4" t="n"/>
      <c r="B50" s="4" t="n"/>
      <c r="C50" s="4" t="n"/>
      <c r="D50" s="4" t="n"/>
      <c r="E50" s="4" t="n"/>
      <c r="F50" s="4" t="n"/>
      <c r="G50" s="4" t="n"/>
      <c r="H50" s="6">
        <f>IF(G50="","",IF(C50="UND",G50,IF(C50="M2",E50/1000*IF(F50="",1,F50)*G50,E50/1000*G50)))</f>
        <v/>
      </c>
      <c r="I50" s="4" t="n"/>
      <c r="J50" s="4" t="n"/>
    </row>
    <row r="51">
      <c r="A51" s="4" t="n"/>
      <c r="B51" s="4" t="n"/>
      <c r="C51" s="4" t="n"/>
      <c r="D51" s="4" t="n"/>
      <c r="E51" s="4" t="n"/>
      <c r="F51" s="4" t="n"/>
      <c r="G51" s="4" t="n"/>
      <c r="H51" s="6">
        <f>IF(G51="","",IF(C51="UND",G51,IF(C51="M2",E51/1000*IF(F51="",1,F51)*G51,E51/1000*G51)))</f>
        <v/>
      </c>
      <c r="I51" s="4" t="n"/>
      <c r="J51" s="4" t="n"/>
    </row>
    <row r="53">
      <c r="A53" s="3" t="inlineStr">
        <is>
          <t>OBSERVACIONES</t>
        </is>
      </c>
    </row>
    <row r="54">
      <c r="A54" s="7" t="n"/>
    </row>
    <row r="55"/>
    <row r="56"/>
    <row r="58">
      <c r="A58" s="3" t="inlineStr">
        <is>
          <t>Elaborado por</t>
        </is>
      </c>
      <c r="B58" s="4" t="n"/>
      <c r="E58" s="3" t="inlineStr">
        <is>
          <t>Recibido por</t>
        </is>
      </c>
      <c r="G58" s="4" t="n"/>
    </row>
    <row r="59">
      <c r="A59" s="3" t="inlineStr">
        <is>
          <t>Cargo</t>
        </is>
      </c>
      <c r="B59" s="4" t="n"/>
      <c r="E59" s="3" t="inlineStr">
        <is>
          <t>Cédula</t>
        </is>
      </c>
      <c r="G59" s="4" t="n"/>
    </row>
    <row r="60">
      <c r="A60" s="3" t="inlineStr">
        <is>
          <t>Firma y sello</t>
        </is>
      </c>
      <c r="B60" s="4" t="n"/>
      <c r="E60" s="3" t="inlineStr">
        <is>
          <t>Teléfono</t>
        </is>
      </c>
      <c r="G60" s="4" t="n"/>
    </row>
    <row r="61">
      <c r="E61" s="3" t="inlineStr">
        <is>
          <t>Firma y sello</t>
        </is>
      </c>
      <c r="G61" s="4" t="n"/>
    </row>
  </sheetData>
  <mergeCells count="22">
    <mergeCell ref="C6:D6"/>
    <mergeCell ref="B60:D60"/>
    <mergeCell ref="C5:D5"/>
    <mergeCell ref="E9:J9"/>
    <mergeCell ref="E6:J6"/>
    <mergeCell ref="C4:D4"/>
    <mergeCell ref="G60:J60"/>
    <mergeCell ref="G59:J59"/>
    <mergeCell ref="C9:D9"/>
    <mergeCell ref="E7:J7"/>
    <mergeCell ref="G61:J61"/>
    <mergeCell ref="A1:J1"/>
    <mergeCell ref="A54:J56"/>
    <mergeCell ref="C8:D8"/>
    <mergeCell ref="B59:D59"/>
    <mergeCell ref="C7:D7"/>
    <mergeCell ref="E5:J5"/>
    <mergeCell ref="B58:D58"/>
    <mergeCell ref="E8:J8"/>
    <mergeCell ref="A2:J2"/>
    <mergeCell ref="E4:J4"/>
    <mergeCell ref="G58:J58"/>
  </mergeCells>
  <dataValidations count="2">
    <dataValidation sqref="C12 C13 C14 C15 C16 C17 C18 C19 C20 C21 C22 C23 C24 C25 C26 C27 C28 C29 C30 C31 C32 C33 C34 C35 C36 C37 C38 C39 C40 C41 C42 C43 C44 C45 C46 C47 C48 C49 C50 C51" showDropDown="0" showInputMessage="0" showErrorMessage="0" allowBlank="1" type="list">
      <formula1>"M2,M,UND"</formula1>
    </dataValidation>
    <dataValidation sqref="I12 I13 I14 I15 I16 I17 I18 I19 I20 I21 I22 I23 I24 I25 I26 I27 I28 I29 I30 I31 I32 I33 I34 I35 I36 I37 I38 I39 I40 I41 I42 I43 I44 I45 I46 I47 I48 I49 I50 I51" showDropDown="0" showInputMessage="0" showErrorMessage="0" allowBlank="1" type="list">
      <formula1>"Sí,No"</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36"/>
  <sheetViews>
    <sheetView showGridLines="0" workbookViewId="0">
      <pane ySplit="5" topLeftCell="A6" activePane="bottomLeft" state="frozen"/>
      <selection pane="bottomLeft" activeCell="A1" sqref="A1"/>
    </sheetView>
  </sheetViews>
  <sheetFormatPr baseColWidth="8" defaultRowHeight="15"/>
  <cols>
    <col width="9" customWidth="1" min="1" max="1"/>
    <col width="42" customWidth="1" min="2" max="2"/>
    <col width="7" customWidth="1" min="3" max="3"/>
    <col width="18" customWidth="1" min="4" max="4"/>
    <col width="14" customWidth="1" min="5" max="5"/>
    <col width="14" customWidth="1" min="6" max="6"/>
    <col width="12" customWidth="1" min="7" max="7"/>
    <col width="12" customWidth="1" min="8" max="8"/>
    <col width="30" customWidth="1" min="9" max="9"/>
  </cols>
  <sheetData>
    <row r="1" ht="28" customHeight="1">
      <c r="A1" s="1" t="inlineStr">
        <is>
          <t>KAIR by Kingspan · VERIFICACIÓN EN LA ENTREGA (REMISIÓN vs. LISTA DETALLADA)</t>
        </is>
      </c>
    </row>
    <row r="2">
      <c r="A2" s="2" t="inlineStr">
        <is>
          <t>Política de Devolución de Producto KAIR - Versión 1 - 29-09-2026 · Celdas amarillas: diligenciar</t>
        </is>
      </c>
    </row>
    <row r="3" ht="28" customHeight="1">
      <c r="A3" s="8" t="inlineStr">
        <is>
          <t>Registre cada referencia de la remisión con su cantidad despachada. El total de la lista detallada se calcula solo; si la diferencia no es cero, el estado muestra NOVEDAD (numerales 5.5 y 4.1).</t>
        </is>
      </c>
    </row>
    <row r="5" ht="30" customHeight="1">
      <c r="A5" s="5" t="inlineStr">
        <is>
          <t>Código</t>
        </is>
      </c>
      <c r="B5" s="5" t="inlineStr">
        <is>
          <t>Descripción</t>
        </is>
      </c>
      <c r="C5" s="5" t="inlineStr">
        <is>
          <t>U.M.</t>
        </is>
      </c>
      <c r="D5" s="5" t="inlineStr">
        <is>
          <t>Lote (remisión)</t>
        </is>
      </c>
      <c r="E5" s="5" t="inlineStr">
        <is>
          <t>Cant. despachada (remisión)</t>
        </is>
      </c>
      <c r="F5" s="5" t="inlineStr">
        <is>
          <t>Total lista detallada</t>
        </is>
      </c>
      <c r="G5" s="5" t="inlineStr">
        <is>
          <t>Diferencia</t>
        </is>
      </c>
      <c r="H5" s="5" t="inlineStr">
        <is>
          <t>Estado</t>
        </is>
      </c>
      <c r="I5" s="5" t="inlineStr">
        <is>
          <t>Observación</t>
        </is>
      </c>
    </row>
    <row r="6">
      <c r="A6" s="4" t="n"/>
      <c r="B6" s="4" t="n"/>
      <c r="C6" s="4" t="n"/>
      <c r="D6" s="4" t="n"/>
      <c r="E6" s="9" t="n"/>
      <c r="F6" s="6">
        <f>IF(A6="","",SUMIF('Lista Detallada'!$A$12:$A$51,A6,'Lista Detallada'!$H$12:$H$51))</f>
        <v/>
      </c>
      <c r="G6" s="6">
        <f>IF(OR(A6="",E6=""),"",ROUND(F6-E6,3))</f>
        <v/>
      </c>
      <c r="H6" s="10">
        <f>IF(G6="","",IF(ABS(G6)&lt;0.005,"OK","NOVEDAD"))</f>
        <v/>
      </c>
      <c r="I6" s="4" t="n"/>
    </row>
    <row r="7">
      <c r="A7" s="4" t="n"/>
      <c r="B7" s="4" t="n"/>
      <c r="C7" s="4" t="n"/>
      <c r="D7" s="4" t="n"/>
      <c r="E7" s="9" t="n"/>
      <c r="F7" s="6">
        <f>IF(A7="","",SUMIF('Lista Detallada'!$A$12:$A$51,A7,'Lista Detallada'!$H$12:$H$51))</f>
        <v/>
      </c>
      <c r="G7" s="6">
        <f>IF(OR(A7="",E7=""),"",ROUND(F7-E7,3))</f>
        <v/>
      </c>
      <c r="H7" s="10">
        <f>IF(G7="","",IF(ABS(G7)&lt;0.005,"OK","NOVEDAD"))</f>
        <v/>
      </c>
      <c r="I7" s="4" t="n"/>
    </row>
    <row r="8">
      <c r="A8" s="4" t="n"/>
      <c r="B8" s="4" t="n"/>
      <c r="C8" s="4" t="n"/>
      <c r="D8" s="4" t="n"/>
      <c r="E8" s="9" t="n"/>
      <c r="F8" s="6">
        <f>IF(A8="","",SUMIF('Lista Detallada'!$A$12:$A$51,A8,'Lista Detallada'!$H$12:$H$51))</f>
        <v/>
      </c>
      <c r="G8" s="6">
        <f>IF(OR(A8="",E8=""),"",ROUND(F8-E8,3))</f>
        <v/>
      </c>
      <c r="H8" s="10">
        <f>IF(G8="","",IF(ABS(G8)&lt;0.005,"OK","NOVEDAD"))</f>
        <v/>
      </c>
      <c r="I8" s="4" t="n"/>
    </row>
    <row r="9">
      <c r="A9" s="4" t="n"/>
      <c r="B9" s="4" t="n"/>
      <c r="C9" s="4" t="n"/>
      <c r="D9" s="4" t="n"/>
      <c r="E9" s="9" t="n"/>
      <c r="F9" s="6">
        <f>IF(A9="","",SUMIF('Lista Detallada'!$A$12:$A$51,A9,'Lista Detallada'!$H$12:$H$51))</f>
        <v/>
      </c>
      <c r="G9" s="6">
        <f>IF(OR(A9="",E9=""),"",ROUND(F9-E9,3))</f>
        <v/>
      </c>
      <c r="H9" s="10">
        <f>IF(G9="","",IF(ABS(G9)&lt;0.005,"OK","NOVEDAD"))</f>
        <v/>
      </c>
      <c r="I9" s="4" t="n"/>
    </row>
    <row r="10">
      <c r="A10" s="4" t="n"/>
      <c r="B10" s="4" t="n"/>
      <c r="C10" s="4" t="n"/>
      <c r="D10" s="4" t="n"/>
      <c r="E10" s="9" t="n"/>
      <c r="F10" s="6">
        <f>IF(A10="","",SUMIF('Lista Detallada'!$A$12:$A$51,A10,'Lista Detallada'!$H$12:$H$51))</f>
        <v/>
      </c>
      <c r="G10" s="6">
        <f>IF(OR(A10="",E10=""),"",ROUND(F10-E10,3))</f>
        <v/>
      </c>
      <c r="H10" s="10">
        <f>IF(G10="","",IF(ABS(G10)&lt;0.005,"OK","NOVEDAD"))</f>
        <v/>
      </c>
      <c r="I10" s="4" t="n"/>
    </row>
    <row r="11">
      <c r="A11" s="4" t="n"/>
      <c r="B11" s="4" t="n"/>
      <c r="C11" s="4" t="n"/>
      <c r="D11" s="4" t="n"/>
      <c r="E11" s="9" t="n"/>
      <c r="F11" s="6">
        <f>IF(A11="","",SUMIF('Lista Detallada'!$A$12:$A$51,A11,'Lista Detallada'!$H$12:$H$51))</f>
        <v/>
      </c>
      <c r="G11" s="6">
        <f>IF(OR(A11="",E11=""),"",ROUND(F11-E11,3))</f>
        <v/>
      </c>
      <c r="H11" s="10">
        <f>IF(G11="","",IF(ABS(G11)&lt;0.005,"OK","NOVEDAD"))</f>
        <v/>
      </c>
      <c r="I11" s="4" t="n"/>
    </row>
    <row r="12">
      <c r="A12" s="4" t="n"/>
      <c r="B12" s="4" t="n"/>
      <c r="C12" s="4" t="n"/>
      <c r="D12" s="4" t="n"/>
      <c r="E12" s="9" t="n"/>
      <c r="F12" s="6">
        <f>IF(A12="","",SUMIF('Lista Detallada'!$A$12:$A$51,A12,'Lista Detallada'!$H$12:$H$51))</f>
        <v/>
      </c>
      <c r="G12" s="6">
        <f>IF(OR(A12="",E12=""),"",ROUND(F12-E12,3))</f>
        <v/>
      </c>
      <c r="H12" s="10">
        <f>IF(G12="","",IF(ABS(G12)&lt;0.005,"OK","NOVEDAD"))</f>
        <v/>
      </c>
      <c r="I12" s="4" t="n"/>
    </row>
    <row r="13">
      <c r="A13" s="4" t="n"/>
      <c r="B13" s="4" t="n"/>
      <c r="C13" s="4" t="n"/>
      <c r="D13" s="4" t="n"/>
      <c r="E13" s="9" t="n"/>
      <c r="F13" s="6">
        <f>IF(A13="","",SUMIF('Lista Detallada'!$A$12:$A$51,A13,'Lista Detallada'!$H$12:$H$51))</f>
        <v/>
      </c>
      <c r="G13" s="6">
        <f>IF(OR(A13="",E13=""),"",ROUND(F13-E13,3))</f>
        <v/>
      </c>
      <c r="H13" s="10">
        <f>IF(G13="","",IF(ABS(G13)&lt;0.005,"OK","NOVEDAD"))</f>
        <v/>
      </c>
      <c r="I13" s="4" t="n"/>
    </row>
    <row r="14">
      <c r="A14" s="4" t="n"/>
      <c r="B14" s="4" t="n"/>
      <c r="C14" s="4" t="n"/>
      <c r="D14" s="4" t="n"/>
      <c r="E14" s="9" t="n"/>
      <c r="F14" s="6">
        <f>IF(A14="","",SUMIF('Lista Detallada'!$A$12:$A$51,A14,'Lista Detallada'!$H$12:$H$51))</f>
        <v/>
      </c>
      <c r="G14" s="6">
        <f>IF(OR(A14="",E14=""),"",ROUND(F14-E14,3))</f>
        <v/>
      </c>
      <c r="H14" s="10">
        <f>IF(G14="","",IF(ABS(G14)&lt;0.005,"OK","NOVEDAD"))</f>
        <v/>
      </c>
      <c r="I14" s="4" t="n"/>
    </row>
    <row r="15">
      <c r="A15" s="4" t="n"/>
      <c r="B15" s="4" t="n"/>
      <c r="C15" s="4" t="n"/>
      <c r="D15" s="4" t="n"/>
      <c r="E15" s="9" t="n"/>
      <c r="F15" s="6">
        <f>IF(A15="","",SUMIF('Lista Detallada'!$A$12:$A$51,A15,'Lista Detallada'!$H$12:$H$51))</f>
        <v/>
      </c>
      <c r="G15" s="6">
        <f>IF(OR(A15="",E15=""),"",ROUND(F15-E15,3))</f>
        <v/>
      </c>
      <c r="H15" s="10">
        <f>IF(G15="","",IF(ABS(G15)&lt;0.005,"OK","NOVEDAD"))</f>
        <v/>
      </c>
      <c r="I15" s="4" t="n"/>
    </row>
    <row r="16">
      <c r="A16" s="4" t="n"/>
      <c r="B16" s="4" t="n"/>
      <c r="C16" s="4" t="n"/>
      <c r="D16" s="4" t="n"/>
      <c r="E16" s="9" t="n"/>
      <c r="F16" s="6">
        <f>IF(A16="","",SUMIF('Lista Detallada'!$A$12:$A$51,A16,'Lista Detallada'!$H$12:$H$51))</f>
        <v/>
      </c>
      <c r="G16" s="6">
        <f>IF(OR(A16="",E16=""),"",ROUND(F16-E16,3))</f>
        <v/>
      </c>
      <c r="H16" s="10">
        <f>IF(G16="","",IF(ABS(G16)&lt;0.005,"OK","NOVEDAD"))</f>
        <v/>
      </c>
      <c r="I16" s="4" t="n"/>
    </row>
    <row r="17">
      <c r="A17" s="4" t="n"/>
      <c r="B17" s="4" t="n"/>
      <c r="C17" s="4" t="n"/>
      <c r="D17" s="4" t="n"/>
      <c r="E17" s="9" t="n"/>
      <c r="F17" s="6">
        <f>IF(A17="","",SUMIF('Lista Detallada'!$A$12:$A$51,A17,'Lista Detallada'!$H$12:$H$51))</f>
        <v/>
      </c>
      <c r="G17" s="6">
        <f>IF(OR(A17="",E17=""),"",ROUND(F17-E17,3))</f>
        <v/>
      </c>
      <c r="H17" s="10">
        <f>IF(G17="","",IF(ABS(G17)&lt;0.005,"OK","NOVEDAD"))</f>
        <v/>
      </c>
      <c r="I17" s="4" t="n"/>
    </row>
    <row r="18">
      <c r="A18" s="4" t="n"/>
      <c r="B18" s="4" t="n"/>
      <c r="C18" s="4" t="n"/>
      <c r="D18" s="4" t="n"/>
      <c r="E18" s="9" t="n"/>
      <c r="F18" s="6">
        <f>IF(A18="","",SUMIF('Lista Detallada'!$A$12:$A$51,A18,'Lista Detallada'!$H$12:$H$51))</f>
        <v/>
      </c>
      <c r="G18" s="6">
        <f>IF(OR(A18="",E18=""),"",ROUND(F18-E18,3))</f>
        <v/>
      </c>
      <c r="H18" s="10">
        <f>IF(G18="","",IF(ABS(G18)&lt;0.005,"OK","NOVEDAD"))</f>
        <v/>
      </c>
      <c r="I18" s="4" t="n"/>
    </row>
    <row r="19">
      <c r="A19" s="4" t="n"/>
      <c r="B19" s="4" t="n"/>
      <c r="C19" s="4" t="n"/>
      <c r="D19" s="4" t="n"/>
      <c r="E19" s="9" t="n"/>
      <c r="F19" s="6">
        <f>IF(A19="","",SUMIF('Lista Detallada'!$A$12:$A$51,A19,'Lista Detallada'!$H$12:$H$51))</f>
        <v/>
      </c>
      <c r="G19" s="6">
        <f>IF(OR(A19="",E19=""),"",ROUND(F19-E19,3))</f>
        <v/>
      </c>
      <c r="H19" s="10">
        <f>IF(G19="","",IF(ABS(G19)&lt;0.005,"OK","NOVEDAD"))</f>
        <v/>
      </c>
      <c r="I19" s="4" t="n"/>
    </row>
    <row r="20">
      <c r="A20" s="4" t="n"/>
      <c r="B20" s="4" t="n"/>
      <c r="C20" s="4" t="n"/>
      <c r="D20" s="4" t="n"/>
      <c r="E20" s="9" t="n"/>
      <c r="F20" s="6">
        <f>IF(A20="","",SUMIF('Lista Detallada'!$A$12:$A$51,A20,'Lista Detallada'!$H$12:$H$51))</f>
        <v/>
      </c>
      <c r="G20" s="6">
        <f>IF(OR(A20="",E20=""),"",ROUND(F20-E20,3))</f>
        <v/>
      </c>
      <c r="H20" s="10">
        <f>IF(G20="","",IF(ABS(G20)&lt;0.005,"OK","NOVEDAD"))</f>
        <v/>
      </c>
      <c r="I20" s="4" t="n"/>
    </row>
    <row r="21">
      <c r="A21" s="4" t="n"/>
      <c r="B21" s="4" t="n"/>
      <c r="C21" s="4" t="n"/>
      <c r="D21" s="4" t="n"/>
      <c r="E21" s="9" t="n"/>
      <c r="F21" s="6">
        <f>IF(A21="","",SUMIF('Lista Detallada'!$A$12:$A$51,A21,'Lista Detallada'!$H$12:$H$51))</f>
        <v/>
      </c>
      <c r="G21" s="6">
        <f>IF(OR(A21="",E21=""),"",ROUND(F21-E21,3))</f>
        <v/>
      </c>
      <c r="H21" s="10">
        <f>IF(G21="","",IF(ABS(G21)&lt;0.005,"OK","NOVEDAD"))</f>
        <v/>
      </c>
      <c r="I21" s="4" t="n"/>
    </row>
    <row r="22">
      <c r="A22" s="4" t="n"/>
      <c r="B22" s="4" t="n"/>
      <c r="C22" s="4" t="n"/>
      <c r="D22" s="4" t="n"/>
      <c r="E22" s="9" t="n"/>
      <c r="F22" s="6">
        <f>IF(A22="","",SUMIF('Lista Detallada'!$A$12:$A$51,A22,'Lista Detallada'!$H$12:$H$51))</f>
        <v/>
      </c>
      <c r="G22" s="6">
        <f>IF(OR(A22="",E22=""),"",ROUND(F22-E22,3))</f>
        <v/>
      </c>
      <c r="H22" s="10">
        <f>IF(G22="","",IF(ABS(G22)&lt;0.005,"OK","NOVEDAD"))</f>
        <v/>
      </c>
      <c r="I22" s="4" t="n"/>
    </row>
    <row r="23">
      <c r="A23" s="4" t="n"/>
      <c r="B23" s="4" t="n"/>
      <c r="C23" s="4" t="n"/>
      <c r="D23" s="4" t="n"/>
      <c r="E23" s="9" t="n"/>
      <c r="F23" s="6">
        <f>IF(A23="","",SUMIF('Lista Detallada'!$A$12:$A$51,A23,'Lista Detallada'!$H$12:$H$51))</f>
        <v/>
      </c>
      <c r="G23" s="6">
        <f>IF(OR(A23="",E23=""),"",ROUND(F23-E23,3))</f>
        <v/>
      </c>
      <c r="H23" s="10">
        <f>IF(G23="","",IF(ABS(G23)&lt;0.005,"OK","NOVEDAD"))</f>
        <v/>
      </c>
      <c r="I23" s="4" t="n"/>
    </row>
    <row r="24">
      <c r="A24" s="4" t="n"/>
      <c r="B24" s="4" t="n"/>
      <c r="C24" s="4" t="n"/>
      <c r="D24" s="4" t="n"/>
      <c r="E24" s="9" t="n"/>
      <c r="F24" s="6">
        <f>IF(A24="","",SUMIF('Lista Detallada'!$A$12:$A$51,A24,'Lista Detallada'!$H$12:$H$51))</f>
        <v/>
      </c>
      <c r="G24" s="6">
        <f>IF(OR(A24="",E24=""),"",ROUND(F24-E24,3))</f>
        <v/>
      </c>
      <c r="H24" s="10">
        <f>IF(G24="","",IF(ABS(G24)&lt;0.005,"OK","NOVEDAD"))</f>
        <v/>
      </c>
      <c r="I24" s="4" t="n"/>
    </row>
    <row r="25">
      <c r="A25" s="4" t="n"/>
      <c r="B25" s="4" t="n"/>
      <c r="C25" s="4" t="n"/>
      <c r="D25" s="4" t="n"/>
      <c r="E25" s="9" t="n"/>
      <c r="F25" s="6">
        <f>IF(A25="","",SUMIF('Lista Detallada'!$A$12:$A$51,A25,'Lista Detallada'!$H$12:$H$51))</f>
        <v/>
      </c>
      <c r="G25" s="6">
        <f>IF(OR(A25="",E25=""),"",ROUND(F25-E25,3))</f>
        <v/>
      </c>
      <c r="H25" s="10">
        <f>IF(G25="","",IF(ABS(G25)&lt;0.005,"OK","NOVEDAD"))</f>
        <v/>
      </c>
      <c r="I25" s="4" t="n"/>
    </row>
    <row r="26">
      <c r="A26" s="11" t="inlineStr">
        <is>
          <t>TOTAL</t>
        </is>
      </c>
      <c r="B26" s="12" t="n"/>
      <c r="C26" s="12" t="n"/>
      <c r="D26" s="12" t="n"/>
      <c r="E26" s="13">
        <f>SUM(E6:E25)</f>
        <v/>
      </c>
      <c r="F26" s="13">
        <f>SUM(F6:F25)</f>
        <v/>
      </c>
      <c r="G26" s="12" t="n"/>
      <c r="H26" s="12">
        <f>COUNTIF(H6:H25,"NOVEDAD")&amp;" novedad(es)"</f>
        <v/>
      </c>
      <c r="I26" s="12" t="n"/>
    </row>
    <row r="28">
      <c r="A28" s="14" t="inlineStr">
        <is>
          <t>LISTA DE CHEQUEO EN LA ENTREGA</t>
        </is>
      </c>
    </row>
    <row r="29">
      <c r="A29" s="15" t="inlineStr">
        <is>
          <t>1. La placa y el conductor coinciden con el correo de transporte</t>
        </is>
      </c>
      <c r="H29" s="4" t="n"/>
    </row>
    <row r="30">
      <c r="A30" s="15" t="inlineStr">
        <is>
          <t>2. Se recibieron todos los paquetes relacionados en la lista detallada</t>
        </is>
      </c>
      <c r="H30" s="4" t="n"/>
    </row>
    <row r="31">
      <c r="A31" s="15" t="inlineStr">
        <is>
          <t>3. El material no presenta golpes, rayones, humedad ni deformaciones</t>
        </is>
      </c>
      <c r="H31" s="4" t="n"/>
    </row>
    <row r="32">
      <c r="A32" s="15" t="inlineStr">
        <is>
          <t>4. Se recibió el registro fotográfico del despacho</t>
        </is>
      </c>
      <c r="H32" s="4" t="n"/>
    </row>
    <row r="33">
      <c r="A33" s="15" t="inlineStr">
        <is>
          <t>5. Remisión y lista detallada firmadas como recibido (nombre, cédula, teléfono)</t>
        </is>
      </c>
      <c r="H33" s="4" t="n"/>
    </row>
    <row r="35">
      <c r="A35" s="16" t="inlineStr">
        <is>
          <t>Reporte faltantes, productos incorrectos o novedades a devolucioneskair@kingspan.com dentro de los 5 días hábiles siguientes a la recepción, indicando N° de remisión, código, lote, N° de paquete y fotos (numerales 1.1 y 4.1).</t>
        </is>
      </c>
    </row>
    <row r="36"/>
  </sheetData>
  <mergeCells count="11">
    <mergeCell ref="A32:G32"/>
    <mergeCell ref="A2:I2"/>
    <mergeCell ref="A28:I28"/>
    <mergeCell ref="A31:G31"/>
    <mergeCell ref="A26:D26"/>
    <mergeCell ref="A35:I36"/>
    <mergeCell ref="A1:I1"/>
    <mergeCell ref="A30:G30"/>
    <mergeCell ref="A3:I3"/>
    <mergeCell ref="A29:G29"/>
    <mergeCell ref="A33:G33"/>
  </mergeCells>
  <conditionalFormatting sqref="H6:H25">
    <cfRule type="cellIs" priority="1" operator="equal" dxfId="0">
      <formula>"OK"</formula>
    </cfRule>
    <cfRule type="cellIs" priority="2" operator="equal" dxfId="1">
      <formula>"NOVEDAD"</formula>
    </cfRule>
  </conditionalFormatting>
  <dataValidations count="1">
    <dataValidation sqref="H29 H30 H31 H32 H33" showDropDown="0" showInputMessage="0" showErrorMessage="0" allowBlank="1" type="list">
      <formula1>"Sí,No"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FAF8C"/>
    <outlinePr summaryBelow="1" summaryRight="1"/>
    <pageSetUpPr fitToPage="1"/>
  </sheetPr>
  <dimension ref="A1:J61"/>
  <sheetViews>
    <sheetView showGridLines="0" workbookViewId="0">
      <pane ySplit="11" topLeftCell="A12" activePane="bottomLeft" state="frozen"/>
      <selection pane="bottomLeft" activeCell="A1" sqref="A1"/>
    </sheetView>
  </sheetViews>
  <sheetFormatPr baseColWidth="8" defaultRowHeight="15"/>
  <cols>
    <col width="9" customWidth="1" min="1" max="1"/>
    <col width="42" customWidth="1" min="2" max="2"/>
    <col width="7" customWidth="1" min="3" max="3"/>
    <col width="10" customWidth="1" min="4" max="4"/>
    <col width="12" customWidth="1" min="5" max="5"/>
    <col width="10" customWidth="1" min="6" max="6"/>
    <col width="10" customWidth="1" min="7" max="7"/>
    <col width="11" customWidth="1" min="8" max="8"/>
    <col width="11" customWidth="1" min="9" max="9"/>
    <col width="28" customWidth="1" min="10" max="10"/>
  </cols>
  <sheetData>
    <row r="1" ht="28" customHeight="1">
      <c r="A1" s="1" t="inlineStr">
        <is>
          <t>KAIR by Kingspan · LISTA DETALLADA DE EMPAQUE (PACKING LIST)</t>
        </is>
      </c>
    </row>
    <row r="2">
      <c r="A2" s="2" t="inlineStr">
        <is>
          <t>Política de Devolución de Producto KAIR - Versión 1 - 29-09-2026 · Celdas amarillas: diligenciar</t>
        </is>
      </c>
    </row>
    <row r="4" ht="18" customHeight="1">
      <c r="A4" s="3" t="inlineStr">
        <is>
          <t>Fecha</t>
        </is>
      </c>
      <c r="B4" s="4" t="inlineStr">
        <is>
          <t>22/09/2026</t>
        </is>
      </c>
      <c r="C4" s="3" t="inlineStr">
        <is>
          <t>N° Remisión</t>
        </is>
      </c>
      <c r="E4" s="4" t="inlineStr">
        <is>
          <t>22390</t>
        </is>
      </c>
    </row>
    <row r="5" ht="18" customHeight="1">
      <c r="A5" s="3" t="inlineStr">
        <is>
          <t>P.V. Nro.</t>
        </is>
      </c>
      <c r="B5" s="4" t="inlineStr">
        <is>
          <t>PV-00012991</t>
        </is>
      </c>
      <c r="C5" s="3" t="inlineStr">
        <is>
          <t>Cliente</t>
        </is>
      </c>
      <c r="E5" s="4" t="inlineStr">
        <is>
          <t>KINGSPAN PANELES AISLADOS SAS</t>
        </is>
      </c>
    </row>
    <row r="6" ht="18" customHeight="1">
      <c r="A6" s="3" t="inlineStr">
        <is>
          <t>Dirección de entrega</t>
        </is>
      </c>
      <c r="B6" s="4" t="inlineStr">
        <is>
          <t>Hotel Hilton, Carrera 1 #62 · 07 KM</t>
        </is>
      </c>
      <c r="C6" s="3" t="inlineStr">
        <is>
          <t>Ciudad</t>
        </is>
      </c>
      <c r="E6" s="4" t="inlineStr">
        <is>
          <t>Cartagena</t>
        </is>
      </c>
    </row>
    <row r="7" ht="18" customHeight="1">
      <c r="A7" s="3" t="inlineStr">
        <is>
          <t>Contacto en obra</t>
        </is>
      </c>
      <c r="B7" s="4" t="inlineStr">
        <is>
          <t>(dato personal omitido)</t>
        </is>
      </c>
      <c r="C7" s="3" t="inlineStr">
        <is>
          <t>Teléfono</t>
        </is>
      </c>
      <c r="E7" s="4" t="inlineStr">
        <is>
          <t>(dato personal omitido)</t>
        </is>
      </c>
    </row>
    <row r="8" ht="18" customHeight="1">
      <c r="A8" s="3" t="inlineStr">
        <is>
          <t>Transportadora</t>
        </is>
      </c>
      <c r="B8" s="4" t="inlineStr">
        <is>
          <t>PASAMAR</t>
        </is>
      </c>
      <c r="C8" s="3" t="inlineStr">
        <is>
          <t>Placa</t>
        </is>
      </c>
      <c r="E8" s="4" t="inlineStr">
        <is>
          <t>TAL758</t>
        </is>
      </c>
    </row>
    <row r="9" ht="18" customHeight="1">
      <c r="A9" s="3" t="inlineStr">
        <is>
          <t>Conductor</t>
        </is>
      </c>
      <c r="B9" s="4" t="inlineStr">
        <is>
          <t>(dato personal omitido)</t>
        </is>
      </c>
      <c r="C9" s="3" t="inlineStr">
        <is>
          <t>Tipo de vehículo</t>
        </is>
      </c>
      <c r="E9" s="4" t="inlineStr"/>
    </row>
    <row r="11" ht="30" customHeight="1">
      <c r="A11" s="5" t="inlineStr">
        <is>
          <t>Ítem (código)</t>
        </is>
      </c>
      <c r="B11" s="5" t="inlineStr">
        <is>
          <t>Descripción</t>
        </is>
      </c>
      <c r="C11" s="5" t="inlineStr">
        <is>
          <t>U.M.</t>
        </is>
      </c>
      <c r="D11" s="5" t="inlineStr">
        <is>
          <t>N° Paquete</t>
        </is>
      </c>
      <c r="E11" s="5" t="inlineStr">
        <is>
          <t>Longitud (mm)</t>
        </is>
      </c>
      <c r="F11" s="5" t="inlineStr">
        <is>
          <t>Ancho útil (m)</t>
        </is>
      </c>
      <c r="G11" s="5" t="inlineStr">
        <is>
          <t>Cantidad (und)</t>
        </is>
      </c>
      <c r="H11" s="5" t="inlineStr">
        <is>
          <t>Total</t>
        </is>
      </c>
      <c r="I11" s="5" t="inlineStr">
        <is>
          <t>Recibido (Sí/No)</t>
        </is>
      </c>
      <c r="J11" s="5" t="inlineStr">
        <is>
          <t>Observación</t>
        </is>
      </c>
    </row>
    <row r="12">
      <c r="A12" s="4" t="inlineStr">
        <is>
          <t>3110</t>
        </is>
      </c>
      <c r="B12" s="4" t="inlineStr">
        <is>
          <t>KINGFRIGO PIR100 CAL28-9002/CAL28-9002</t>
        </is>
      </c>
      <c r="C12" s="4" t="inlineStr">
        <is>
          <t>M2</t>
        </is>
      </c>
      <c r="D12" s="4" t="inlineStr">
        <is>
          <t>8003</t>
        </is>
      </c>
      <c r="E12" s="4" t="n">
        <v>3000</v>
      </c>
      <c r="F12" s="4" t="n">
        <v>1</v>
      </c>
      <c r="G12" s="4" t="n">
        <v>8</v>
      </c>
      <c r="H12" s="6">
        <f>IF(G12="","",IF(C12="UND",G12,IF(C12="M2",E12/1000*IF(F12="",1,F12)*G12,E12/1000*G12)))</f>
        <v/>
      </c>
      <c r="I12" s="4" t="n"/>
      <c r="J12" s="4" t="n"/>
    </row>
    <row r="13">
      <c r="A13" s="4" t="inlineStr">
        <is>
          <t>3110</t>
        </is>
      </c>
      <c r="B13" s="4" t="inlineStr">
        <is>
          <t>KINGFRIGO PIR100 CAL28-9002/CAL28-9002</t>
        </is>
      </c>
      <c r="C13" s="4" t="inlineStr">
        <is>
          <t>M2</t>
        </is>
      </c>
      <c r="D13" s="4" t="inlineStr">
        <is>
          <t>8003</t>
        </is>
      </c>
      <c r="E13" s="4" t="n">
        <v>2700</v>
      </c>
      <c r="F13" s="4" t="n">
        <v>1</v>
      </c>
      <c r="G13" s="4" t="n">
        <v>2</v>
      </c>
      <c r="H13" s="6">
        <f>IF(G13="","",IF(C13="UND",G13,IF(C13="M2",E13/1000*IF(F13="",1,F13)*G13,E13/1000*G13)))</f>
        <v/>
      </c>
      <c r="I13" s="4" t="n"/>
      <c r="J13" s="4" t="n"/>
    </row>
    <row r="14">
      <c r="A14" s="4" t="inlineStr">
        <is>
          <t>3110</t>
        </is>
      </c>
      <c r="B14" s="4" t="inlineStr">
        <is>
          <t>KINGFRIGO PIR100 CAL28-9002/CAL28-9002</t>
        </is>
      </c>
      <c r="C14" s="4" t="inlineStr">
        <is>
          <t>M2</t>
        </is>
      </c>
      <c r="D14" s="4" t="inlineStr">
        <is>
          <t>8003</t>
        </is>
      </c>
      <c r="E14" s="4" t="n">
        <v>2730</v>
      </c>
      <c r="F14" s="4" t="n">
        <v>1</v>
      </c>
      <c r="G14" s="4" t="n">
        <v>2</v>
      </c>
      <c r="H14" s="6">
        <f>IF(G14="","",IF(C14="UND",G14,IF(C14="M2",E14/1000*IF(F14="",1,F14)*G14,E14/1000*G14)))</f>
        <v/>
      </c>
      <c r="I14" s="4" t="n"/>
      <c r="J14" s="4" t="n"/>
    </row>
    <row r="15">
      <c r="A15" s="4" t="inlineStr">
        <is>
          <t>6099</t>
        </is>
      </c>
      <c r="B15" s="4" t="inlineStr">
        <is>
          <t>KINGROOF PIR50 CAL26-7043/CAL28-MADCLARO</t>
        </is>
      </c>
      <c r="C15" s="4" t="inlineStr">
        <is>
          <t>M2</t>
        </is>
      </c>
      <c r="D15" s="4" t="inlineStr"/>
      <c r="E15" s="4" t="n">
        <v>4750</v>
      </c>
      <c r="F15" s="4" t="n">
        <v>1</v>
      </c>
      <c r="G15" s="4" t="n">
        <v>3</v>
      </c>
      <c r="H15" s="6">
        <f>IF(G15="","",IF(C15="UND",G15,IF(C15="M2",E15/1000*IF(F15="",1,F15)*G15,E15/1000*G15)))</f>
        <v/>
      </c>
      <c r="I15" s="4" t="n"/>
      <c r="J15" s="4" t="n"/>
    </row>
    <row r="16">
      <c r="A16" s="4" t="inlineStr">
        <is>
          <t>315</t>
        </is>
      </c>
      <c r="B16" s="4" t="inlineStr">
        <is>
          <t>ESQUINERO EXTERIOR</t>
        </is>
      </c>
      <c r="C16" s="4" t="inlineStr">
        <is>
          <t>M</t>
        </is>
      </c>
      <c r="D16" s="4" t="inlineStr"/>
      <c r="E16" s="4" t="n">
        <v>3000</v>
      </c>
      <c r="F16" s="4" t="n"/>
      <c r="G16" s="4" t="n">
        <v>4</v>
      </c>
      <c r="H16" s="6">
        <f>IF(G16="","",IF(C16="UND",G16,IF(C16="M2",E16/1000*IF(F16="",1,F16)*G16,E16/1000*G16)))</f>
        <v/>
      </c>
      <c r="I16" s="4" t="n"/>
      <c r="J16" s="4" t="n"/>
    </row>
    <row r="17">
      <c r="A17" s="4" t="inlineStr">
        <is>
          <t>316</t>
        </is>
      </c>
      <c r="B17" s="4" t="inlineStr">
        <is>
          <t>ESQUINERO INTERIOR</t>
        </is>
      </c>
      <c r="C17" s="4" t="inlineStr">
        <is>
          <t>M</t>
        </is>
      </c>
      <c r="D17" s="4" t="inlineStr"/>
      <c r="E17" s="4" t="n">
        <v>3000</v>
      </c>
      <c r="F17" s="4" t="n"/>
      <c r="G17" s="4" t="n">
        <v>12</v>
      </c>
      <c r="H17" s="6">
        <f>IF(G17="","",IF(C17="UND",G17,IF(C17="M2",E17/1000*IF(F17="",1,F17)*G17,E17/1000*G17)))</f>
        <v/>
      </c>
      <c r="I17" s="4" t="n"/>
      <c r="J17" s="4" t="n"/>
    </row>
    <row r="18">
      <c r="A18" s="4" t="inlineStr">
        <is>
          <t>308</t>
        </is>
      </c>
      <c r="B18" s="4" t="inlineStr">
        <is>
          <t>REMATE FRONTAL 18/30</t>
        </is>
      </c>
      <c r="C18" s="4" t="inlineStr">
        <is>
          <t>M</t>
        </is>
      </c>
      <c r="D18" s="4" t="inlineStr"/>
      <c r="E18" s="4" t="n">
        <v>3000</v>
      </c>
      <c r="F18" s="4" t="n"/>
      <c r="G18" s="4" t="n">
        <v>2</v>
      </c>
      <c r="H18" s="6">
        <f>IF(G18="","",IF(C18="UND",G18,IF(C18="M2",E18/1000*IF(F18="",1,F18)*G18,E18/1000*G18)))</f>
        <v/>
      </c>
      <c r="I18" s="4" t="n"/>
      <c r="J18" s="4" t="n"/>
    </row>
    <row r="19">
      <c r="A19" s="4" t="inlineStr">
        <is>
          <t>4215</t>
        </is>
      </c>
      <c r="B19" s="4" t="inlineStr">
        <is>
          <t>REMATE DISEÑO ESPECIAL - 7043</t>
        </is>
      </c>
      <c r="C19" s="4" t="inlineStr">
        <is>
          <t>M</t>
        </is>
      </c>
      <c r="D19" s="4" t="inlineStr"/>
      <c r="E19" s="4" t="n">
        <v>3000</v>
      </c>
      <c r="F19" s="4" t="n"/>
      <c r="G19" s="4" t="n">
        <v>3</v>
      </c>
      <c r="H19" s="6">
        <f>IF(G19="","",IF(C19="UND",G19,IF(C19="M2",E19/1000*IF(F19="",1,F19)*G19,E19/1000*G19)))</f>
        <v/>
      </c>
      <c r="I19" s="4" t="n"/>
      <c r="J19" s="4" t="n"/>
    </row>
    <row r="20">
      <c r="A20" s="4" t="inlineStr">
        <is>
          <t>320</t>
        </is>
      </c>
      <c r="B20" s="4" t="inlineStr">
        <is>
          <t>REMATE DISEÑO ESPECIAL - 9002</t>
        </is>
      </c>
      <c r="C20" s="4" t="inlineStr">
        <is>
          <t>M</t>
        </is>
      </c>
      <c r="D20" s="4" t="inlineStr"/>
      <c r="E20" s="4" t="n">
        <v>2400</v>
      </c>
      <c r="F20" s="4" t="n"/>
      <c r="G20" s="4" t="n">
        <v>16</v>
      </c>
      <c r="H20" s="6">
        <f>IF(G20="","",IF(C20="UND",G20,IF(C20="M2",E20/1000*IF(F20="",1,F20)*G20,E20/1000*G20)))</f>
        <v/>
      </c>
      <c r="I20" s="4" t="n"/>
      <c r="J20" s="4" t="n"/>
    </row>
    <row r="21">
      <c r="A21" s="4" t="inlineStr">
        <is>
          <t>5626</t>
        </is>
      </c>
      <c r="B21" s="4" t="inlineStr">
        <is>
          <t>KIT DE ANCLAJE FACHADA 100</t>
        </is>
      </c>
      <c r="C21" s="4" t="inlineStr">
        <is>
          <t>UND</t>
        </is>
      </c>
      <c r="D21" s="4" t="inlineStr"/>
      <c r="E21" s="4" t="n"/>
      <c r="F21" s="4" t="n"/>
      <c r="G21" s="4" t="n">
        <v>50</v>
      </c>
      <c r="H21" s="6">
        <f>IF(G21="","",IF(C21="UND",G21,IF(C21="M2",E21/1000*IF(F21="",1,F21)*G21,E21/1000*G21)))</f>
        <v/>
      </c>
      <c r="I21" s="4" t="n"/>
      <c r="J21" s="4" t="n"/>
    </row>
    <row r="22">
      <c r="A22" s="4" t="n"/>
      <c r="B22" s="4" t="n"/>
      <c r="C22" s="4" t="n"/>
      <c r="D22" s="4" t="n"/>
      <c r="E22" s="4" t="n"/>
      <c r="F22" s="4" t="n"/>
      <c r="G22" s="4" t="n"/>
      <c r="H22" s="6">
        <f>IF(G22="","",IF(C22="UND",G22,IF(C22="M2",E22/1000*IF(F22="",1,F22)*G22,E22/1000*G22)))</f>
        <v/>
      </c>
      <c r="I22" s="4" t="n"/>
      <c r="J22" s="4" t="n"/>
    </row>
    <row r="23">
      <c r="A23" s="4" t="n"/>
      <c r="B23" s="4" t="n"/>
      <c r="C23" s="4" t="n"/>
      <c r="D23" s="4" t="n"/>
      <c r="E23" s="4" t="n"/>
      <c r="F23" s="4" t="n"/>
      <c r="G23" s="4" t="n"/>
      <c r="H23" s="6">
        <f>IF(G23="","",IF(C23="UND",G23,IF(C23="M2",E23/1000*IF(F23="",1,F23)*G23,E23/1000*G23)))</f>
        <v/>
      </c>
      <c r="I23" s="4" t="n"/>
      <c r="J23" s="4" t="n"/>
    </row>
    <row r="24">
      <c r="A24" s="4" t="n"/>
      <c r="B24" s="4" t="n"/>
      <c r="C24" s="4" t="n"/>
      <c r="D24" s="4" t="n"/>
      <c r="E24" s="4" t="n"/>
      <c r="F24" s="4" t="n"/>
      <c r="G24" s="4" t="n"/>
      <c r="H24" s="6">
        <f>IF(G24="","",IF(C24="UND",G24,IF(C24="M2",E24/1000*IF(F24="",1,F24)*G24,E24/1000*G24)))</f>
        <v/>
      </c>
      <c r="I24" s="4" t="n"/>
      <c r="J24" s="4" t="n"/>
    </row>
    <row r="25">
      <c r="A25" s="4" t="n"/>
      <c r="B25" s="4" t="n"/>
      <c r="C25" s="4" t="n"/>
      <c r="D25" s="4" t="n"/>
      <c r="E25" s="4" t="n"/>
      <c r="F25" s="4" t="n"/>
      <c r="G25" s="4" t="n"/>
      <c r="H25" s="6">
        <f>IF(G25="","",IF(C25="UND",G25,IF(C25="M2",E25/1000*IF(F25="",1,F25)*G25,E25/1000*G25)))</f>
        <v/>
      </c>
      <c r="I25" s="4" t="n"/>
      <c r="J25" s="4" t="n"/>
    </row>
    <row r="26">
      <c r="A26" s="4" t="n"/>
      <c r="B26" s="4" t="n"/>
      <c r="C26" s="4" t="n"/>
      <c r="D26" s="4" t="n"/>
      <c r="E26" s="4" t="n"/>
      <c r="F26" s="4" t="n"/>
      <c r="G26" s="4" t="n"/>
      <c r="H26" s="6">
        <f>IF(G26="","",IF(C26="UND",G26,IF(C26="M2",E26/1000*IF(F26="",1,F26)*G26,E26/1000*G26)))</f>
        <v/>
      </c>
      <c r="I26" s="4" t="n"/>
      <c r="J26" s="4" t="n"/>
    </row>
    <row r="27">
      <c r="A27" s="4" t="n"/>
      <c r="B27" s="4" t="n"/>
      <c r="C27" s="4" t="n"/>
      <c r="D27" s="4" t="n"/>
      <c r="E27" s="4" t="n"/>
      <c r="F27" s="4" t="n"/>
      <c r="G27" s="4" t="n"/>
      <c r="H27" s="6">
        <f>IF(G27="","",IF(C27="UND",G27,IF(C27="M2",E27/1000*IF(F27="",1,F27)*G27,E27/1000*G27)))</f>
        <v/>
      </c>
      <c r="I27" s="4" t="n"/>
      <c r="J27" s="4" t="n"/>
    </row>
    <row r="28">
      <c r="A28" s="4" t="n"/>
      <c r="B28" s="4" t="n"/>
      <c r="C28" s="4" t="n"/>
      <c r="D28" s="4" t="n"/>
      <c r="E28" s="4" t="n"/>
      <c r="F28" s="4" t="n"/>
      <c r="G28" s="4" t="n"/>
      <c r="H28" s="6">
        <f>IF(G28="","",IF(C28="UND",G28,IF(C28="M2",E28/1000*IF(F28="",1,F28)*G28,E28/1000*G28)))</f>
        <v/>
      </c>
      <c r="I28" s="4" t="n"/>
      <c r="J28" s="4" t="n"/>
    </row>
    <row r="29">
      <c r="A29" s="4" t="n"/>
      <c r="B29" s="4" t="n"/>
      <c r="C29" s="4" t="n"/>
      <c r="D29" s="4" t="n"/>
      <c r="E29" s="4" t="n"/>
      <c r="F29" s="4" t="n"/>
      <c r="G29" s="4" t="n"/>
      <c r="H29" s="6">
        <f>IF(G29="","",IF(C29="UND",G29,IF(C29="M2",E29/1000*IF(F29="",1,F29)*G29,E29/1000*G29)))</f>
        <v/>
      </c>
      <c r="I29" s="4" t="n"/>
      <c r="J29" s="4" t="n"/>
    </row>
    <row r="30">
      <c r="A30" s="4" t="n"/>
      <c r="B30" s="4" t="n"/>
      <c r="C30" s="4" t="n"/>
      <c r="D30" s="4" t="n"/>
      <c r="E30" s="4" t="n"/>
      <c r="F30" s="4" t="n"/>
      <c r="G30" s="4" t="n"/>
      <c r="H30" s="6">
        <f>IF(G30="","",IF(C30="UND",G30,IF(C30="M2",E30/1000*IF(F30="",1,F30)*G30,E30/1000*G30)))</f>
        <v/>
      </c>
      <c r="I30" s="4" t="n"/>
      <c r="J30" s="4" t="n"/>
    </row>
    <row r="31">
      <c r="A31" s="4" t="n"/>
      <c r="B31" s="4" t="n"/>
      <c r="C31" s="4" t="n"/>
      <c r="D31" s="4" t="n"/>
      <c r="E31" s="4" t="n"/>
      <c r="F31" s="4" t="n"/>
      <c r="G31" s="4" t="n"/>
      <c r="H31" s="6">
        <f>IF(G31="","",IF(C31="UND",G31,IF(C31="M2",E31/1000*IF(F31="",1,F31)*G31,E31/1000*G31)))</f>
        <v/>
      </c>
      <c r="I31" s="4" t="n"/>
      <c r="J31" s="4" t="n"/>
    </row>
    <row r="32">
      <c r="A32" s="4" t="n"/>
      <c r="B32" s="4" t="n"/>
      <c r="C32" s="4" t="n"/>
      <c r="D32" s="4" t="n"/>
      <c r="E32" s="4" t="n"/>
      <c r="F32" s="4" t="n"/>
      <c r="G32" s="4" t="n"/>
      <c r="H32" s="6">
        <f>IF(G32="","",IF(C32="UND",G32,IF(C32="M2",E32/1000*IF(F32="",1,F32)*G32,E32/1000*G32)))</f>
        <v/>
      </c>
      <c r="I32" s="4" t="n"/>
      <c r="J32" s="4" t="n"/>
    </row>
    <row r="33">
      <c r="A33" s="4" t="n"/>
      <c r="B33" s="4" t="n"/>
      <c r="C33" s="4" t="n"/>
      <c r="D33" s="4" t="n"/>
      <c r="E33" s="4" t="n"/>
      <c r="F33" s="4" t="n"/>
      <c r="G33" s="4" t="n"/>
      <c r="H33" s="6">
        <f>IF(G33="","",IF(C33="UND",G33,IF(C33="M2",E33/1000*IF(F33="",1,F33)*G33,E33/1000*G33)))</f>
        <v/>
      </c>
      <c r="I33" s="4" t="n"/>
      <c r="J33" s="4" t="n"/>
    </row>
    <row r="34">
      <c r="A34" s="4" t="n"/>
      <c r="B34" s="4" t="n"/>
      <c r="C34" s="4" t="n"/>
      <c r="D34" s="4" t="n"/>
      <c r="E34" s="4" t="n"/>
      <c r="F34" s="4" t="n"/>
      <c r="G34" s="4" t="n"/>
      <c r="H34" s="6">
        <f>IF(G34="","",IF(C34="UND",G34,IF(C34="M2",E34/1000*IF(F34="",1,F34)*G34,E34/1000*G34)))</f>
        <v/>
      </c>
      <c r="I34" s="4" t="n"/>
      <c r="J34" s="4" t="n"/>
    </row>
    <row r="35">
      <c r="A35" s="4" t="n"/>
      <c r="B35" s="4" t="n"/>
      <c r="C35" s="4" t="n"/>
      <c r="D35" s="4" t="n"/>
      <c r="E35" s="4" t="n"/>
      <c r="F35" s="4" t="n"/>
      <c r="G35" s="4" t="n"/>
      <c r="H35" s="6">
        <f>IF(G35="","",IF(C35="UND",G35,IF(C35="M2",E35/1000*IF(F35="",1,F35)*G35,E35/1000*G35)))</f>
        <v/>
      </c>
      <c r="I35" s="4" t="n"/>
      <c r="J35" s="4" t="n"/>
    </row>
    <row r="36">
      <c r="A36" s="4" t="n"/>
      <c r="B36" s="4" t="n"/>
      <c r="C36" s="4" t="n"/>
      <c r="D36" s="4" t="n"/>
      <c r="E36" s="4" t="n"/>
      <c r="F36" s="4" t="n"/>
      <c r="G36" s="4" t="n"/>
      <c r="H36" s="6">
        <f>IF(G36="","",IF(C36="UND",G36,IF(C36="M2",E36/1000*IF(F36="",1,F36)*G36,E36/1000*G36)))</f>
        <v/>
      </c>
      <c r="I36" s="4" t="n"/>
      <c r="J36" s="4" t="n"/>
    </row>
    <row r="37">
      <c r="A37" s="4" t="n"/>
      <c r="B37" s="4" t="n"/>
      <c r="C37" s="4" t="n"/>
      <c r="D37" s="4" t="n"/>
      <c r="E37" s="4" t="n"/>
      <c r="F37" s="4" t="n"/>
      <c r="G37" s="4" t="n"/>
      <c r="H37" s="6">
        <f>IF(G37="","",IF(C37="UND",G37,IF(C37="M2",E37/1000*IF(F37="",1,F37)*G37,E37/1000*G37)))</f>
        <v/>
      </c>
      <c r="I37" s="4" t="n"/>
      <c r="J37" s="4" t="n"/>
    </row>
    <row r="38">
      <c r="A38" s="4" t="n"/>
      <c r="B38" s="4" t="n"/>
      <c r="C38" s="4" t="n"/>
      <c r="D38" s="4" t="n"/>
      <c r="E38" s="4" t="n"/>
      <c r="F38" s="4" t="n"/>
      <c r="G38" s="4" t="n"/>
      <c r="H38" s="6">
        <f>IF(G38="","",IF(C38="UND",G38,IF(C38="M2",E38/1000*IF(F38="",1,F38)*G38,E38/1000*G38)))</f>
        <v/>
      </c>
      <c r="I38" s="4" t="n"/>
      <c r="J38" s="4" t="n"/>
    </row>
    <row r="39">
      <c r="A39" s="4" t="n"/>
      <c r="B39" s="4" t="n"/>
      <c r="C39" s="4" t="n"/>
      <c r="D39" s="4" t="n"/>
      <c r="E39" s="4" t="n"/>
      <c r="F39" s="4" t="n"/>
      <c r="G39" s="4" t="n"/>
      <c r="H39" s="6">
        <f>IF(G39="","",IF(C39="UND",G39,IF(C39="M2",E39/1000*IF(F39="",1,F39)*G39,E39/1000*G39)))</f>
        <v/>
      </c>
      <c r="I39" s="4" t="n"/>
      <c r="J39" s="4" t="n"/>
    </row>
    <row r="40">
      <c r="A40" s="4" t="n"/>
      <c r="B40" s="4" t="n"/>
      <c r="C40" s="4" t="n"/>
      <c r="D40" s="4" t="n"/>
      <c r="E40" s="4" t="n"/>
      <c r="F40" s="4" t="n"/>
      <c r="G40" s="4" t="n"/>
      <c r="H40" s="6">
        <f>IF(G40="","",IF(C40="UND",G40,IF(C40="M2",E40/1000*IF(F40="",1,F40)*G40,E40/1000*G40)))</f>
        <v/>
      </c>
      <c r="I40" s="4" t="n"/>
      <c r="J40" s="4" t="n"/>
    </row>
    <row r="41">
      <c r="A41" s="4" t="n"/>
      <c r="B41" s="4" t="n"/>
      <c r="C41" s="4" t="n"/>
      <c r="D41" s="4" t="n"/>
      <c r="E41" s="4" t="n"/>
      <c r="F41" s="4" t="n"/>
      <c r="G41" s="4" t="n"/>
      <c r="H41" s="6">
        <f>IF(G41="","",IF(C41="UND",G41,IF(C41="M2",E41/1000*IF(F41="",1,F41)*G41,E41/1000*G41)))</f>
        <v/>
      </c>
      <c r="I41" s="4" t="n"/>
      <c r="J41" s="4" t="n"/>
    </row>
    <row r="42">
      <c r="A42" s="4" t="n"/>
      <c r="B42" s="4" t="n"/>
      <c r="C42" s="4" t="n"/>
      <c r="D42" s="4" t="n"/>
      <c r="E42" s="4" t="n"/>
      <c r="F42" s="4" t="n"/>
      <c r="G42" s="4" t="n"/>
      <c r="H42" s="6">
        <f>IF(G42="","",IF(C42="UND",G42,IF(C42="M2",E42/1000*IF(F42="",1,F42)*G42,E42/1000*G42)))</f>
        <v/>
      </c>
      <c r="I42" s="4" t="n"/>
      <c r="J42" s="4" t="n"/>
    </row>
    <row r="43">
      <c r="A43" s="4" t="n"/>
      <c r="B43" s="4" t="n"/>
      <c r="C43" s="4" t="n"/>
      <c r="D43" s="4" t="n"/>
      <c r="E43" s="4" t="n"/>
      <c r="F43" s="4" t="n"/>
      <c r="G43" s="4" t="n"/>
      <c r="H43" s="6">
        <f>IF(G43="","",IF(C43="UND",G43,IF(C43="M2",E43/1000*IF(F43="",1,F43)*G43,E43/1000*G43)))</f>
        <v/>
      </c>
      <c r="I43" s="4" t="n"/>
      <c r="J43" s="4" t="n"/>
    </row>
    <row r="44">
      <c r="A44" s="4" t="n"/>
      <c r="B44" s="4" t="n"/>
      <c r="C44" s="4" t="n"/>
      <c r="D44" s="4" t="n"/>
      <c r="E44" s="4" t="n"/>
      <c r="F44" s="4" t="n"/>
      <c r="G44" s="4" t="n"/>
      <c r="H44" s="6">
        <f>IF(G44="","",IF(C44="UND",G44,IF(C44="M2",E44/1000*IF(F44="",1,F44)*G44,E44/1000*G44)))</f>
        <v/>
      </c>
      <c r="I44" s="4" t="n"/>
      <c r="J44" s="4" t="n"/>
    </row>
    <row r="45">
      <c r="A45" s="4" t="n"/>
      <c r="B45" s="4" t="n"/>
      <c r="C45" s="4" t="n"/>
      <c r="D45" s="4" t="n"/>
      <c r="E45" s="4" t="n"/>
      <c r="F45" s="4" t="n"/>
      <c r="G45" s="4" t="n"/>
      <c r="H45" s="6">
        <f>IF(G45="","",IF(C45="UND",G45,IF(C45="M2",E45/1000*IF(F45="",1,F45)*G45,E45/1000*G45)))</f>
        <v/>
      </c>
      <c r="I45" s="4" t="n"/>
      <c r="J45" s="4" t="n"/>
    </row>
    <row r="46">
      <c r="A46" s="4" t="n"/>
      <c r="B46" s="4" t="n"/>
      <c r="C46" s="4" t="n"/>
      <c r="D46" s="4" t="n"/>
      <c r="E46" s="4" t="n"/>
      <c r="F46" s="4" t="n"/>
      <c r="G46" s="4" t="n"/>
      <c r="H46" s="6">
        <f>IF(G46="","",IF(C46="UND",G46,IF(C46="M2",E46/1000*IF(F46="",1,F46)*G46,E46/1000*G46)))</f>
        <v/>
      </c>
      <c r="I46" s="4" t="n"/>
      <c r="J46" s="4" t="n"/>
    </row>
    <row r="47">
      <c r="A47" s="4" t="n"/>
      <c r="B47" s="4" t="n"/>
      <c r="C47" s="4" t="n"/>
      <c r="D47" s="4" t="n"/>
      <c r="E47" s="4" t="n"/>
      <c r="F47" s="4" t="n"/>
      <c r="G47" s="4" t="n"/>
      <c r="H47" s="6">
        <f>IF(G47="","",IF(C47="UND",G47,IF(C47="M2",E47/1000*IF(F47="",1,F47)*G47,E47/1000*G47)))</f>
        <v/>
      </c>
      <c r="I47" s="4" t="n"/>
      <c r="J47" s="4" t="n"/>
    </row>
    <row r="48">
      <c r="A48" s="4" t="n"/>
      <c r="B48" s="4" t="n"/>
      <c r="C48" s="4" t="n"/>
      <c r="D48" s="4" t="n"/>
      <c r="E48" s="4" t="n"/>
      <c r="F48" s="4" t="n"/>
      <c r="G48" s="4" t="n"/>
      <c r="H48" s="6">
        <f>IF(G48="","",IF(C48="UND",G48,IF(C48="M2",E48/1000*IF(F48="",1,F48)*G48,E48/1000*G48)))</f>
        <v/>
      </c>
      <c r="I48" s="4" t="n"/>
      <c r="J48" s="4" t="n"/>
    </row>
    <row r="49">
      <c r="A49" s="4" t="n"/>
      <c r="B49" s="4" t="n"/>
      <c r="C49" s="4" t="n"/>
      <c r="D49" s="4" t="n"/>
      <c r="E49" s="4" t="n"/>
      <c r="F49" s="4" t="n"/>
      <c r="G49" s="4" t="n"/>
      <c r="H49" s="6">
        <f>IF(G49="","",IF(C49="UND",G49,IF(C49="M2",E49/1000*IF(F49="",1,F49)*G49,E49/1000*G49)))</f>
        <v/>
      </c>
      <c r="I49" s="4" t="n"/>
      <c r="J49" s="4" t="n"/>
    </row>
    <row r="50">
      <c r="A50" s="4" t="n"/>
      <c r="B50" s="4" t="n"/>
      <c r="C50" s="4" t="n"/>
      <c r="D50" s="4" t="n"/>
      <c r="E50" s="4" t="n"/>
      <c r="F50" s="4" t="n"/>
      <c r="G50" s="4" t="n"/>
      <c r="H50" s="6">
        <f>IF(G50="","",IF(C50="UND",G50,IF(C50="M2",E50/1000*IF(F50="",1,F50)*G50,E50/1000*G50)))</f>
        <v/>
      </c>
      <c r="I50" s="4" t="n"/>
      <c r="J50" s="4" t="n"/>
    </row>
    <row r="51">
      <c r="A51" s="4" t="n"/>
      <c r="B51" s="4" t="n"/>
      <c r="C51" s="4" t="n"/>
      <c r="D51" s="4" t="n"/>
      <c r="E51" s="4" t="n"/>
      <c r="F51" s="4" t="n"/>
      <c r="G51" s="4" t="n"/>
      <c r="H51" s="6">
        <f>IF(G51="","",IF(C51="UND",G51,IF(C51="M2",E51/1000*IF(F51="",1,F51)*G51,E51/1000*G51)))</f>
        <v/>
      </c>
      <c r="I51" s="4" t="n"/>
      <c r="J51" s="4" t="n"/>
    </row>
    <row r="53">
      <c r="A53" s="3" t="inlineStr">
        <is>
          <t>OBSERVACIONES</t>
        </is>
      </c>
    </row>
    <row r="54">
      <c r="A54" s="7" t="n"/>
    </row>
    <row r="55"/>
    <row r="56"/>
    <row r="58">
      <c r="A58" s="3" t="inlineStr">
        <is>
          <t>Elaborado por</t>
        </is>
      </c>
      <c r="B58" s="4" t="n"/>
      <c r="E58" s="3" t="inlineStr">
        <is>
          <t>Recibido por</t>
        </is>
      </c>
      <c r="G58" s="4" t="n"/>
    </row>
    <row r="59">
      <c r="A59" s="3" t="inlineStr">
        <is>
          <t>Cargo</t>
        </is>
      </c>
      <c r="B59" s="4" t="inlineStr">
        <is>
          <t>Supervisor de logística</t>
        </is>
      </c>
      <c r="E59" s="3" t="inlineStr">
        <is>
          <t>Cédula</t>
        </is>
      </c>
      <c r="G59" s="4" t="n"/>
    </row>
    <row r="60">
      <c r="A60" s="3" t="inlineStr">
        <is>
          <t>Firma y sello</t>
        </is>
      </c>
      <c r="B60" s="4" t="n"/>
      <c r="E60" s="3" t="inlineStr">
        <is>
          <t>Teléfono</t>
        </is>
      </c>
      <c r="G60" s="4" t="n"/>
    </row>
    <row r="61">
      <c r="E61" s="3" t="inlineStr">
        <is>
          <t>Firma y sello</t>
        </is>
      </c>
      <c r="G61" s="4" t="n"/>
    </row>
  </sheetData>
  <mergeCells count="22">
    <mergeCell ref="C6:D6"/>
    <mergeCell ref="B60:D60"/>
    <mergeCell ref="C5:D5"/>
    <mergeCell ref="E9:J9"/>
    <mergeCell ref="E6:J6"/>
    <mergeCell ref="C4:D4"/>
    <mergeCell ref="G60:J60"/>
    <mergeCell ref="G59:J59"/>
    <mergeCell ref="C9:D9"/>
    <mergeCell ref="E7:J7"/>
    <mergeCell ref="G61:J61"/>
    <mergeCell ref="A1:J1"/>
    <mergeCell ref="A54:J56"/>
    <mergeCell ref="C8:D8"/>
    <mergeCell ref="B59:D59"/>
    <mergeCell ref="C7:D7"/>
    <mergeCell ref="E5:J5"/>
    <mergeCell ref="B58:D58"/>
    <mergeCell ref="E8:J8"/>
    <mergeCell ref="A2:J2"/>
    <mergeCell ref="E4:J4"/>
    <mergeCell ref="G58:J58"/>
  </mergeCells>
  <dataValidations count="2">
    <dataValidation sqref="C12 C13 C14 C15 C16 C17 C18 C19 C20 C21 C22 C23 C24 C25 C26 C27 C28 C29 C30 C31 C32 C33 C34 C35 C36 C37 C38 C39 C40 C41 C42 C43 C44 C45 C46 C47 C48 C49 C50 C51" showDropDown="0" showInputMessage="0" showErrorMessage="0" allowBlank="1" type="list">
      <formula1>"M2,M,UND"</formula1>
    </dataValidation>
    <dataValidation sqref="I12 I13 I14 I15 I16 I17 I18 I19 I20 I21 I22 I23 I24 I25 I26 I27 I28 I29 I30 I31 I32 I33 I34 I35 I36 I37 I38 I39 I40 I41 I42 I43 I44 I45 I46 I47 I48 I49 I50 I51" showDropDown="0" showInputMessage="0" showErrorMessage="0" allowBlank="1" type="list">
      <formula1>"Sí,No"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8FAF8C"/>
    <outlinePr summaryBelow="1" summaryRight="1"/>
    <pageSetUpPr fitToPage="1"/>
  </sheetPr>
  <dimension ref="A1:I36"/>
  <sheetViews>
    <sheetView showGridLines="0" workbookViewId="0">
      <pane ySplit="5" topLeftCell="A6" activePane="bottomLeft" state="frozen"/>
      <selection pane="bottomLeft" activeCell="A1" sqref="A1"/>
    </sheetView>
  </sheetViews>
  <sheetFormatPr baseColWidth="8" defaultRowHeight="15"/>
  <cols>
    <col width="9" customWidth="1" min="1" max="1"/>
    <col width="42" customWidth="1" min="2" max="2"/>
    <col width="7" customWidth="1" min="3" max="3"/>
    <col width="18" customWidth="1" min="4" max="4"/>
    <col width="14" customWidth="1" min="5" max="5"/>
    <col width="14" customWidth="1" min="6" max="6"/>
    <col width="12" customWidth="1" min="7" max="7"/>
    <col width="12" customWidth="1" min="8" max="8"/>
    <col width="30" customWidth="1" min="9" max="9"/>
  </cols>
  <sheetData>
    <row r="1" ht="28" customHeight="1">
      <c r="A1" s="1" t="inlineStr">
        <is>
          <t>KAIR by Kingspan · VERIFICACIÓN EN LA ENTREGA (REMISIÓN vs. LISTA DETALLADA)</t>
        </is>
      </c>
    </row>
    <row r="2">
      <c r="A2" s="2" t="inlineStr">
        <is>
          <t>Política de Devolución de Producto KAIR - Versión 1 - 29-09-2026 · Celdas amarillas: diligenciar</t>
        </is>
      </c>
    </row>
    <row r="3" ht="28" customHeight="1">
      <c r="A3" s="8" t="inlineStr">
        <is>
          <t>Registre cada referencia de la remisión con su cantidad despachada. El total de la lista detallada se calcula solo; si la diferencia no es cero, el estado muestra NOVEDAD (numerales 5.5 y 4.1).</t>
        </is>
      </c>
    </row>
    <row r="5" ht="30" customHeight="1">
      <c r="A5" s="5" t="inlineStr">
        <is>
          <t>Código</t>
        </is>
      </c>
      <c r="B5" s="5" t="inlineStr">
        <is>
          <t>Descripción</t>
        </is>
      </c>
      <c r="C5" s="5" t="inlineStr">
        <is>
          <t>U.M.</t>
        </is>
      </c>
      <c r="D5" s="5" t="inlineStr">
        <is>
          <t>Lote (remisión)</t>
        </is>
      </c>
      <c r="E5" s="5" t="inlineStr">
        <is>
          <t>Cant. despachada (remisión)</t>
        </is>
      </c>
      <c r="F5" s="5" t="inlineStr">
        <is>
          <t>Total lista detallada</t>
        </is>
      </c>
      <c r="G5" s="5" t="inlineStr">
        <is>
          <t>Diferencia</t>
        </is>
      </c>
      <c r="H5" s="5" t="inlineStr">
        <is>
          <t>Estado</t>
        </is>
      </c>
      <c r="I5" s="5" t="inlineStr">
        <is>
          <t>Observación</t>
        </is>
      </c>
    </row>
    <row r="6">
      <c r="A6" s="4" t="inlineStr">
        <is>
          <t>3110</t>
        </is>
      </c>
      <c r="B6" s="4" t="inlineStr">
        <is>
          <t>KINGFRIGO PIR100 CAL28-9002/CAL28-9002</t>
        </is>
      </c>
      <c r="C6" s="4" t="inlineStr">
        <is>
          <t>M2</t>
        </is>
      </c>
      <c r="D6" s="4" t="inlineStr">
        <is>
          <t>WOP18757-260922</t>
        </is>
      </c>
      <c r="E6" s="9" t="n">
        <v>34.86</v>
      </c>
      <c r="F6" s="6">
        <f>IF(A6="","",SUMIF('Ejemplo - Lista Detallada'!$A$12:$A$51,A6,'Ejemplo - Lista Detallada'!$H$12:$H$51))</f>
        <v/>
      </c>
      <c r="G6" s="6">
        <f>IF(OR(A6="",E6=""),"",ROUND(F6-E6,3))</f>
        <v/>
      </c>
      <c r="H6" s="10">
        <f>IF(G6="","",IF(ABS(G6)&lt;0.005,"OK","NOVEDAD"))</f>
        <v/>
      </c>
      <c r="I6" s="4" t="n"/>
    </row>
    <row r="7">
      <c r="A7" s="4" t="inlineStr">
        <is>
          <t>6099</t>
        </is>
      </c>
      <c r="B7" s="4" t="inlineStr">
        <is>
          <t>KINGROOF PIR50 CAL26-7043/CAL28-MADCLARO</t>
        </is>
      </c>
      <c r="C7" s="4" t="inlineStr">
        <is>
          <t>M2</t>
        </is>
      </c>
      <c r="D7" s="4" t="inlineStr">
        <is>
          <t>WOP17099-260205</t>
        </is>
      </c>
      <c r="E7" s="9" t="n">
        <v>14.25</v>
      </c>
      <c r="F7" s="6">
        <f>IF(A7="","",SUMIF('Ejemplo - Lista Detallada'!$A$12:$A$51,A7,'Ejemplo - Lista Detallada'!$H$12:$H$51))</f>
        <v/>
      </c>
      <c r="G7" s="6">
        <f>IF(OR(A7="",E7=""),"",ROUND(F7-E7,3))</f>
        <v/>
      </c>
      <c r="H7" s="10">
        <f>IF(G7="","",IF(ABS(G7)&lt;0.005,"OK","NOVEDAD"))</f>
        <v/>
      </c>
      <c r="I7" s="4" t="n"/>
    </row>
    <row r="8">
      <c r="A8" s="4" t="inlineStr">
        <is>
          <t>315</t>
        </is>
      </c>
      <c r="B8" s="4" t="inlineStr">
        <is>
          <t>ESQUINERO EXTERIOR</t>
        </is>
      </c>
      <c r="C8" s="4" t="inlineStr">
        <is>
          <t>M</t>
        </is>
      </c>
      <c r="D8" s="4" t="inlineStr">
        <is>
          <t>WAC15445-260922</t>
        </is>
      </c>
      <c r="E8" s="9" t="n">
        <v>12</v>
      </c>
      <c r="F8" s="6">
        <f>IF(A8="","",SUMIF('Ejemplo - Lista Detallada'!$A$12:$A$51,A8,'Ejemplo - Lista Detallada'!$H$12:$H$51))</f>
        <v/>
      </c>
      <c r="G8" s="6">
        <f>IF(OR(A8="",E8=""),"",ROUND(F8-E8,3))</f>
        <v/>
      </c>
      <c r="H8" s="10">
        <f>IF(G8="","",IF(ABS(G8)&lt;0.005,"OK","NOVEDAD"))</f>
        <v/>
      </c>
      <c r="I8" s="4" t="n"/>
    </row>
    <row r="9">
      <c r="A9" s="4" t="inlineStr">
        <is>
          <t>316</t>
        </is>
      </c>
      <c r="B9" s="4" t="inlineStr">
        <is>
          <t>ESQUINERO INTERIOR</t>
        </is>
      </c>
      <c r="C9" s="4" t="inlineStr">
        <is>
          <t>M</t>
        </is>
      </c>
      <c r="D9" s="4" t="inlineStr">
        <is>
          <t>WAC15445-260922</t>
        </is>
      </c>
      <c r="E9" s="9" t="n">
        <v>36</v>
      </c>
      <c r="F9" s="6">
        <f>IF(A9="","",SUMIF('Ejemplo - Lista Detallada'!$A$12:$A$51,A9,'Ejemplo - Lista Detallada'!$H$12:$H$51))</f>
        <v/>
      </c>
      <c r="G9" s="6">
        <f>IF(OR(A9="",E9=""),"",ROUND(F9-E9,3))</f>
        <v/>
      </c>
      <c r="H9" s="10">
        <f>IF(G9="","",IF(ABS(G9)&lt;0.005,"OK","NOVEDAD"))</f>
        <v/>
      </c>
      <c r="I9" s="4" t="n"/>
    </row>
    <row r="10">
      <c r="A10" s="4" t="inlineStr">
        <is>
          <t>308</t>
        </is>
      </c>
      <c r="B10" s="4" t="inlineStr">
        <is>
          <t>REMATE FRONTAL 18/30</t>
        </is>
      </c>
      <c r="C10" s="4" t="inlineStr">
        <is>
          <t>M</t>
        </is>
      </c>
      <c r="D10" s="4" t="inlineStr">
        <is>
          <t>WAC15357-260702</t>
        </is>
      </c>
      <c r="E10" s="9" t="n">
        <v>6</v>
      </c>
      <c r="F10" s="6">
        <f>IF(A10="","",SUMIF('Ejemplo - Lista Detallada'!$A$12:$A$51,A10,'Ejemplo - Lista Detallada'!$H$12:$H$51))</f>
        <v/>
      </c>
      <c r="G10" s="6">
        <f>IF(OR(A10="",E10=""),"",ROUND(F10-E10,3))</f>
        <v/>
      </c>
      <c r="H10" s="10">
        <f>IF(G10="","",IF(ABS(G10)&lt;0.005,"OK","NOVEDAD"))</f>
        <v/>
      </c>
      <c r="I10" s="4" t="n"/>
    </row>
    <row r="11">
      <c r="A11" s="4" t="inlineStr">
        <is>
          <t>4215</t>
        </is>
      </c>
      <c r="B11" s="4" t="inlineStr">
        <is>
          <t>REMATE DISEÑO ESPECIAL - 7043</t>
        </is>
      </c>
      <c r="C11" s="4" t="inlineStr">
        <is>
          <t>M</t>
        </is>
      </c>
      <c r="D11" s="4" t="inlineStr">
        <is>
          <t>WAC15444-260922</t>
        </is>
      </c>
      <c r="E11" s="9" t="n">
        <v>9</v>
      </c>
      <c r="F11" s="6">
        <f>IF(A11="","",SUMIF('Ejemplo - Lista Detallada'!$A$12:$A$51,A11,'Ejemplo - Lista Detallada'!$H$12:$H$51))</f>
        <v/>
      </c>
      <c r="G11" s="6">
        <f>IF(OR(A11="",E11=""),"",ROUND(F11-E11,3))</f>
        <v/>
      </c>
      <c r="H11" s="10">
        <f>IF(G11="","",IF(ABS(G11)&lt;0.005,"OK","NOVEDAD"))</f>
        <v/>
      </c>
      <c r="I11" s="4" t="n"/>
    </row>
    <row r="12">
      <c r="A12" s="4" t="inlineStr">
        <is>
          <t>320</t>
        </is>
      </c>
      <c r="B12" s="4" t="inlineStr">
        <is>
          <t>REMATE DISEÑO ESPECIAL - 9002</t>
        </is>
      </c>
      <c r="C12" s="4" t="inlineStr">
        <is>
          <t>M</t>
        </is>
      </c>
      <c r="D12" s="4" t="inlineStr">
        <is>
          <t>WAC15446-260922</t>
        </is>
      </c>
      <c r="E12" s="9" t="n">
        <v>38.4</v>
      </c>
      <c r="F12" s="6">
        <f>IF(A12="","",SUMIF('Ejemplo - Lista Detallada'!$A$12:$A$51,A12,'Ejemplo - Lista Detallada'!$H$12:$H$51))</f>
        <v/>
      </c>
      <c r="G12" s="6">
        <f>IF(OR(A12="",E12=""),"",ROUND(F12-E12,3))</f>
        <v/>
      </c>
      <c r="H12" s="10">
        <f>IF(G12="","",IF(ABS(G12)&lt;0.005,"OK","NOVEDAD"))</f>
        <v/>
      </c>
      <c r="I12" s="4" t="n"/>
    </row>
    <row r="13">
      <c r="A13" s="4" t="inlineStr">
        <is>
          <t>5626</t>
        </is>
      </c>
      <c r="B13" s="4" t="inlineStr">
        <is>
          <t>KIT DE ANCLAJE FACHADA 100</t>
        </is>
      </c>
      <c r="C13" s="4" t="inlineStr">
        <is>
          <t>UND</t>
        </is>
      </c>
      <c r="D13" s="4" t="inlineStr"/>
      <c r="E13" s="9" t="n">
        <v>50</v>
      </c>
      <c r="F13" s="6">
        <f>IF(A13="","",SUMIF('Ejemplo - Lista Detallada'!$A$12:$A$51,A13,'Ejemplo - Lista Detallada'!$H$12:$H$51))</f>
        <v/>
      </c>
      <c r="G13" s="6">
        <f>IF(OR(A13="",E13=""),"",ROUND(F13-E13,3))</f>
        <v/>
      </c>
      <c r="H13" s="10">
        <f>IF(G13="","",IF(ABS(G13)&lt;0.005,"OK","NOVEDAD"))</f>
        <v/>
      </c>
      <c r="I13" s="4" t="n"/>
    </row>
    <row r="14">
      <c r="A14" s="4" t="n"/>
      <c r="B14" s="4" t="n"/>
      <c r="C14" s="4" t="n"/>
      <c r="D14" s="4" t="n"/>
      <c r="E14" s="9" t="n"/>
      <c r="F14" s="6">
        <f>IF(A14="","",SUMIF('Ejemplo - Lista Detallada'!$A$12:$A$51,A14,'Ejemplo - Lista Detallada'!$H$12:$H$51))</f>
        <v/>
      </c>
      <c r="G14" s="6">
        <f>IF(OR(A14="",E14=""),"",ROUND(F14-E14,3))</f>
        <v/>
      </c>
      <c r="H14" s="10">
        <f>IF(G14="","",IF(ABS(G14)&lt;0.005,"OK","NOVEDAD"))</f>
        <v/>
      </c>
      <c r="I14" s="4" t="n"/>
    </row>
    <row r="15">
      <c r="A15" s="4" t="n"/>
      <c r="B15" s="4" t="n"/>
      <c r="C15" s="4" t="n"/>
      <c r="D15" s="4" t="n"/>
      <c r="E15" s="9" t="n"/>
      <c r="F15" s="6">
        <f>IF(A15="","",SUMIF('Ejemplo - Lista Detallada'!$A$12:$A$51,A15,'Ejemplo - Lista Detallada'!$H$12:$H$51))</f>
        <v/>
      </c>
      <c r="G15" s="6">
        <f>IF(OR(A15="",E15=""),"",ROUND(F15-E15,3))</f>
        <v/>
      </c>
      <c r="H15" s="10">
        <f>IF(G15="","",IF(ABS(G15)&lt;0.005,"OK","NOVEDAD"))</f>
        <v/>
      </c>
      <c r="I15" s="4" t="n"/>
    </row>
    <row r="16">
      <c r="A16" s="4" t="n"/>
      <c r="B16" s="4" t="n"/>
      <c r="C16" s="4" t="n"/>
      <c r="D16" s="4" t="n"/>
      <c r="E16" s="9" t="n"/>
      <c r="F16" s="6">
        <f>IF(A16="","",SUMIF('Ejemplo - Lista Detallada'!$A$12:$A$51,A16,'Ejemplo - Lista Detallada'!$H$12:$H$51))</f>
        <v/>
      </c>
      <c r="G16" s="6">
        <f>IF(OR(A16="",E16=""),"",ROUND(F16-E16,3))</f>
        <v/>
      </c>
      <c r="H16" s="10">
        <f>IF(G16="","",IF(ABS(G16)&lt;0.005,"OK","NOVEDAD"))</f>
        <v/>
      </c>
      <c r="I16" s="4" t="n"/>
    </row>
    <row r="17">
      <c r="A17" s="4" t="n"/>
      <c r="B17" s="4" t="n"/>
      <c r="C17" s="4" t="n"/>
      <c r="D17" s="4" t="n"/>
      <c r="E17" s="9" t="n"/>
      <c r="F17" s="6">
        <f>IF(A17="","",SUMIF('Ejemplo - Lista Detallada'!$A$12:$A$51,A17,'Ejemplo - Lista Detallada'!$H$12:$H$51))</f>
        <v/>
      </c>
      <c r="G17" s="6">
        <f>IF(OR(A17="",E17=""),"",ROUND(F17-E17,3))</f>
        <v/>
      </c>
      <c r="H17" s="10">
        <f>IF(G17="","",IF(ABS(G17)&lt;0.005,"OK","NOVEDAD"))</f>
        <v/>
      </c>
      <c r="I17" s="4" t="n"/>
    </row>
    <row r="18">
      <c r="A18" s="4" t="n"/>
      <c r="B18" s="4" t="n"/>
      <c r="C18" s="4" t="n"/>
      <c r="D18" s="4" t="n"/>
      <c r="E18" s="9" t="n"/>
      <c r="F18" s="6">
        <f>IF(A18="","",SUMIF('Ejemplo - Lista Detallada'!$A$12:$A$51,A18,'Ejemplo - Lista Detallada'!$H$12:$H$51))</f>
        <v/>
      </c>
      <c r="G18" s="6">
        <f>IF(OR(A18="",E18=""),"",ROUND(F18-E18,3))</f>
        <v/>
      </c>
      <c r="H18" s="10">
        <f>IF(G18="","",IF(ABS(G18)&lt;0.005,"OK","NOVEDAD"))</f>
        <v/>
      </c>
      <c r="I18" s="4" t="n"/>
    </row>
    <row r="19">
      <c r="A19" s="4" t="n"/>
      <c r="B19" s="4" t="n"/>
      <c r="C19" s="4" t="n"/>
      <c r="D19" s="4" t="n"/>
      <c r="E19" s="9" t="n"/>
      <c r="F19" s="6">
        <f>IF(A19="","",SUMIF('Ejemplo - Lista Detallada'!$A$12:$A$51,A19,'Ejemplo - Lista Detallada'!$H$12:$H$51))</f>
        <v/>
      </c>
      <c r="G19" s="6">
        <f>IF(OR(A19="",E19=""),"",ROUND(F19-E19,3))</f>
        <v/>
      </c>
      <c r="H19" s="10">
        <f>IF(G19="","",IF(ABS(G19)&lt;0.005,"OK","NOVEDAD"))</f>
        <v/>
      </c>
      <c r="I19" s="4" t="n"/>
    </row>
    <row r="20">
      <c r="A20" s="4" t="n"/>
      <c r="B20" s="4" t="n"/>
      <c r="C20" s="4" t="n"/>
      <c r="D20" s="4" t="n"/>
      <c r="E20" s="9" t="n"/>
      <c r="F20" s="6">
        <f>IF(A20="","",SUMIF('Ejemplo - Lista Detallada'!$A$12:$A$51,A20,'Ejemplo - Lista Detallada'!$H$12:$H$51))</f>
        <v/>
      </c>
      <c r="G20" s="6">
        <f>IF(OR(A20="",E20=""),"",ROUND(F20-E20,3))</f>
        <v/>
      </c>
      <c r="H20" s="10">
        <f>IF(G20="","",IF(ABS(G20)&lt;0.005,"OK","NOVEDAD"))</f>
        <v/>
      </c>
      <c r="I20" s="4" t="n"/>
    </row>
    <row r="21">
      <c r="A21" s="4" t="n"/>
      <c r="B21" s="4" t="n"/>
      <c r="C21" s="4" t="n"/>
      <c r="D21" s="4" t="n"/>
      <c r="E21" s="9" t="n"/>
      <c r="F21" s="6">
        <f>IF(A21="","",SUMIF('Ejemplo - Lista Detallada'!$A$12:$A$51,A21,'Ejemplo - Lista Detallada'!$H$12:$H$51))</f>
        <v/>
      </c>
      <c r="G21" s="6">
        <f>IF(OR(A21="",E21=""),"",ROUND(F21-E21,3))</f>
        <v/>
      </c>
      <c r="H21" s="10">
        <f>IF(G21="","",IF(ABS(G21)&lt;0.005,"OK","NOVEDAD"))</f>
        <v/>
      </c>
      <c r="I21" s="4" t="n"/>
    </row>
    <row r="22">
      <c r="A22" s="4" t="n"/>
      <c r="B22" s="4" t="n"/>
      <c r="C22" s="4" t="n"/>
      <c r="D22" s="4" t="n"/>
      <c r="E22" s="9" t="n"/>
      <c r="F22" s="6">
        <f>IF(A22="","",SUMIF('Ejemplo - Lista Detallada'!$A$12:$A$51,A22,'Ejemplo - Lista Detallada'!$H$12:$H$51))</f>
        <v/>
      </c>
      <c r="G22" s="6">
        <f>IF(OR(A22="",E22=""),"",ROUND(F22-E22,3))</f>
        <v/>
      </c>
      <c r="H22" s="10">
        <f>IF(G22="","",IF(ABS(G22)&lt;0.005,"OK","NOVEDAD"))</f>
        <v/>
      </c>
      <c r="I22" s="4" t="n"/>
    </row>
    <row r="23">
      <c r="A23" s="4" t="n"/>
      <c r="B23" s="4" t="n"/>
      <c r="C23" s="4" t="n"/>
      <c r="D23" s="4" t="n"/>
      <c r="E23" s="9" t="n"/>
      <c r="F23" s="6">
        <f>IF(A23="","",SUMIF('Ejemplo - Lista Detallada'!$A$12:$A$51,A23,'Ejemplo - Lista Detallada'!$H$12:$H$51))</f>
        <v/>
      </c>
      <c r="G23" s="6">
        <f>IF(OR(A23="",E23=""),"",ROUND(F23-E23,3))</f>
        <v/>
      </c>
      <c r="H23" s="10">
        <f>IF(G23="","",IF(ABS(G23)&lt;0.005,"OK","NOVEDAD"))</f>
        <v/>
      </c>
      <c r="I23" s="4" t="n"/>
    </row>
    <row r="24">
      <c r="A24" s="4" t="n"/>
      <c r="B24" s="4" t="n"/>
      <c r="C24" s="4" t="n"/>
      <c r="D24" s="4" t="n"/>
      <c r="E24" s="9" t="n"/>
      <c r="F24" s="6">
        <f>IF(A24="","",SUMIF('Ejemplo - Lista Detallada'!$A$12:$A$51,A24,'Ejemplo - Lista Detallada'!$H$12:$H$51))</f>
        <v/>
      </c>
      <c r="G24" s="6">
        <f>IF(OR(A24="",E24=""),"",ROUND(F24-E24,3))</f>
        <v/>
      </c>
      <c r="H24" s="10">
        <f>IF(G24="","",IF(ABS(G24)&lt;0.005,"OK","NOVEDAD"))</f>
        <v/>
      </c>
      <c r="I24" s="4" t="n"/>
    </row>
    <row r="25">
      <c r="A25" s="4" t="n"/>
      <c r="B25" s="4" t="n"/>
      <c r="C25" s="4" t="n"/>
      <c r="D25" s="4" t="n"/>
      <c r="E25" s="9" t="n"/>
      <c r="F25" s="6">
        <f>IF(A25="","",SUMIF('Ejemplo - Lista Detallada'!$A$12:$A$51,A25,'Ejemplo - Lista Detallada'!$H$12:$H$51))</f>
        <v/>
      </c>
      <c r="G25" s="6">
        <f>IF(OR(A25="",E25=""),"",ROUND(F25-E25,3))</f>
        <v/>
      </c>
      <c r="H25" s="10">
        <f>IF(G25="","",IF(ABS(G25)&lt;0.005,"OK","NOVEDAD"))</f>
        <v/>
      </c>
      <c r="I25" s="4" t="n"/>
    </row>
    <row r="26">
      <c r="A26" s="11" t="inlineStr">
        <is>
          <t>TOTAL</t>
        </is>
      </c>
      <c r="B26" s="12" t="n"/>
      <c r="C26" s="12" t="n"/>
      <c r="D26" s="12" t="n"/>
      <c r="E26" s="13">
        <f>SUM(E6:E25)</f>
        <v/>
      </c>
      <c r="F26" s="13">
        <f>SUM(F6:F25)</f>
        <v/>
      </c>
      <c r="G26" s="12" t="n"/>
      <c r="H26" s="12">
        <f>COUNTIF(H6:H25,"NOVEDAD")&amp;" novedad(es)"</f>
        <v/>
      </c>
      <c r="I26" s="12" t="n"/>
    </row>
    <row r="28">
      <c r="A28" s="14" t="inlineStr">
        <is>
          <t>LISTA DE CHEQUEO EN LA ENTREGA</t>
        </is>
      </c>
    </row>
    <row r="29">
      <c r="A29" s="15" t="inlineStr">
        <is>
          <t>1. La placa y el conductor coinciden con el correo de transporte</t>
        </is>
      </c>
      <c r="H29" s="4" t="n"/>
    </row>
    <row r="30">
      <c r="A30" s="15" t="inlineStr">
        <is>
          <t>2. Se recibieron todos los paquetes relacionados en la lista detallada</t>
        </is>
      </c>
      <c r="H30" s="4" t="n"/>
    </row>
    <row r="31">
      <c r="A31" s="15" t="inlineStr">
        <is>
          <t>3. El material no presenta golpes, rayones, humedad ni deformaciones</t>
        </is>
      </c>
      <c r="H31" s="4" t="n"/>
    </row>
    <row r="32">
      <c r="A32" s="15" t="inlineStr">
        <is>
          <t>4. Se recibió el registro fotográfico del despacho</t>
        </is>
      </c>
      <c r="H32" s="4" t="n"/>
    </row>
    <row r="33">
      <c r="A33" s="15" t="inlineStr">
        <is>
          <t>5. Remisión y lista detallada firmadas como recibido (nombre, cédula, teléfono)</t>
        </is>
      </c>
      <c r="H33" s="4" t="n"/>
    </row>
    <row r="35">
      <c r="A35" s="16" t="inlineStr">
        <is>
          <t>Reporte faltantes, productos incorrectos o novedades a devolucioneskair@kingspan.com dentro de los 5 días hábiles siguientes a la recepción, indicando N° de remisión, código, lote, N° de paquete y fotos (numerales 1.1 y 4.1).</t>
        </is>
      </c>
    </row>
    <row r="36"/>
  </sheetData>
  <mergeCells count="11">
    <mergeCell ref="A32:G32"/>
    <mergeCell ref="A2:I2"/>
    <mergeCell ref="A28:I28"/>
    <mergeCell ref="A31:G31"/>
    <mergeCell ref="A26:D26"/>
    <mergeCell ref="A35:I36"/>
    <mergeCell ref="A1:I1"/>
    <mergeCell ref="A30:G30"/>
    <mergeCell ref="A3:I3"/>
    <mergeCell ref="A29:G29"/>
    <mergeCell ref="A33:G33"/>
  </mergeCells>
  <conditionalFormatting sqref="H6:H25">
    <cfRule type="cellIs" priority="1" operator="equal" dxfId="0">
      <formula>"OK"</formula>
    </cfRule>
    <cfRule type="cellIs" priority="2" operator="equal" dxfId="1">
      <formula>"NOVEDAD"</formula>
    </cfRule>
  </conditionalFormatting>
  <dataValidations count="1">
    <dataValidation sqref="H29 H30 H31 H32 H33" showDropDown="0" showInputMessage="0" showErrorMessage="0" allowBlank="1" type="list">
      <formula1>"Sí,No"</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2026-09-29T21:07:30Z</dcterms:created>
  <dcterms:modified xmlns:dcterms="http://purl.org/dc/terms/" xmlns:xsi="http://www.w3.org/2001/XMLSchema-instance" xsi:type="dcterms:W3CDTF">2026-09-29T21:07:30Z</dcterms:modified>
</cp:coreProperties>
</file>