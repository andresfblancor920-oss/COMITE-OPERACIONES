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Ventas_m2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Order_Intake" sheetId="5" state="visible" r:id="rId5"/>
    <sheet xmlns:r="http://schemas.openxmlformats.org/officeDocument/2006/relationships" name="Pipeline" sheetId="6" state="visible" r:id="rId6"/>
    <sheet xmlns:r="http://schemas.openxmlformats.org/officeDocument/2006/relationships" name="Comentarios" sheetId="7" state="visible" r:id="rId7"/>
    <sheet xmlns:r="http://schemas.openxmlformats.org/officeDocument/2006/relationships" name="PPT_1" sheetId="8" state="visible" r:id="rId8"/>
    <sheet xmlns:r="http://schemas.openxmlformats.org/officeDocument/2006/relationships" name="PPT_2" sheetId="9" state="visible" r:id="rId9"/>
    <sheet xmlns:r="http://schemas.openxmlformats.org/officeDocument/2006/relationships" name="PPT_3" sheetId="10" state="visible" r:id="rId10"/>
  </sheets>
  <definedNames>
    <definedName name="S1_Encabezado">PPT_1!$A$1:$G$7</definedName>
    <definedName name="S1_Tabla">PPT_1!$I$9:$R$19</definedName>
    <definedName name="S1_Alertas">PPT_1!$T$21:$U$26</definedName>
    <definedName name="S2_Encabezado">PPT_2!$A$1:$G$7</definedName>
    <definedName name="S2_Tabla">PPT_2!$I$9:$O$24</definedName>
    <definedName name="S2_Alertas">PPT_2!$Q$26:$R$29</definedName>
    <definedName name="S3_Encabezado">PPT_3!$A$1:$G$7</definedName>
    <definedName name="S3_Tabla">PPT_3!$I$9:$N$14</definedName>
    <definedName name="S3_Pipeline">PPT_3!$P$16:$U$21</definedName>
    <definedName name="S3_Alertas">PPT_3!$W$23:$X$27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"/>
    <numFmt numFmtId="165" formatCode="0.000000"/>
    <numFmt numFmtId="166" formatCode="&quot;$ &quot;#,##0"/>
  </numFmts>
  <fonts count="20">
    <font>
      <name val="Calibri"/>
      <family val="2"/>
      <color theme="1"/>
      <sz val="11"/>
      <scheme val="minor"/>
    </font>
    <font>
      <name val="Calibri"/>
      <b val="1"/>
      <color rgb="000B2545"/>
      <sz val="14"/>
    </font>
    <font>
      <name val="Calibri"/>
      <i val="1"/>
      <color rgb="006B7280"/>
      <sz val="9"/>
    </font>
    <font>
      <name val="Calibri"/>
      <b val="1"/>
      <color rgb="001F2937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color rgb="000B2545"/>
      <sz val="26"/>
    </font>
    <font>
      <name val="Calibri"/>
      <color rgb="006B7280"/>
      <sz val="12"/>
    </font>
    <font>
      <name val="Calibri"/>
      <b val="1"/>
      <color rgb="000B2545"/>
      <sz val="11"/>
    </font>
    <font>
      <name val="Calibri"/>
      <color rgb="006B7280"/>
      <sz val="10"/>
    </font>
    <font>
      <name val="Calibri"/>
      <b val="1"/>
      <color rgb="006B7280"/>
      <sz val="9"/>
    </font>
    <font>
      <name val="Calibri"/>
      <b val="1"/>
      <color rgb="000B2545"/>
      <sz val="22"/>
    </font>
    <font>
      <name val="Calibri"/>
      <b val="1"/>
      <color rgb="006B7280"/>
      <sz val="10"/>
    </font>
    <font>
      <name val="Calibri"/>
      <b val="1"/>
      <color rgb="00FFFFFF"/>
      <sz val="9"/>
    </font>
    <font>
      <name val="Calibri"/>
      <i val="1"/>
      <color rgb="006B7280"/>
      <sz val="8"/>
    </font>
    <font>
      <name val="Calibri"/>
      <b val="1"/>
      <color rgb="006B7280"/>
      <sz val="11"/>
    </font>
    <font>
      <name val="Calibri"/>
      <b val="1"/>
      <color rgb="000B2545"/>
      <sz val="10"/>
    </font>
    <font>
      <name val="Calibri"/>
      <b val="1"/>
      <color rgb="001F2937"/>
      <sz val="9"/>
    </font>
    <font>
      <name val="Calibri"/>
      <b val="1"/>
      <color rgb="00FFFFFF"/>
      <sz val="8"/>
    </font>
    <font>
      <name val="Calibri"/>
      <color rgb="001F2937"/>
      <sz val="9"/>
    </font>
  </fonts>
  <fills count="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DEFF2"/>
        <bgColor rgb="00EDEFF2"/>
      </patternFill>
    </fill>
    <fill>
      <patternFill patternType="solid">
        <fgColor rgb="000B2545"/>
        <bgColor rgb="000B2545"/>
      </patternFill>
    </fill>
    <fill>
      <patternFill patternType="solid">
        <fgColor rgb="00E3EBF5"/>
        <bgColor rgb="00E3EBF5"/>
      </patternFill>
    </fill>
    <fill>
      <patternFill patternType="solid">
        <fgColor rgb="00FFFFFF"/>
        <bgColor rgb="00FFFFFF"/>
      </patternFill>
    </fill>
    <fill>
      <patternFill patternType="solid">
        <fgColor rgb="00F3F5F8"/>
        <bgColor rgb="00F3F5F8"/>
      </patternFill>
    </fill>
  </fills>
  <borders count="3">
    <border>
      <left/>
      <right/>
      <top/>
      <bottom/>
      <diagonal/>
    </border>
    <border>
      <left style="thin">
        <color rgb="00DDE2E8"/>
      </left>
      <right style="thin">
        <color rgb="00DDE2E8"/>
      </right>
      <top style="thin">
        <color rgb="00DDE2E8"/>
      </top>
      <bottom style="thin">
        <color rgb="00DDE2E8"/>
      </bottom>
    </border>
    <border>
      <bottom style="thin">
        <color rgb="00DDE2E8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0" borderId="1" pivotButton="0" quotePrefix="0" xfId="0"/>
    <xf numFmtId="1" fontId="4" fillId="2" borderId="1" pivotButton="0" quotePrefix="0" xfId="0"/>
    <xf numFmtId="9" fontId="4" fillId="2" borderId="1" pivotButton="0" quotePrefix="0" xfId="0"/>
    <xf numFmtId="3" fontId="4" fillId="2" borderId="1" pivotButton="0" quotePrefix="0" xfId="0"/>
    <xf numFmtId="0" fontId="5" fillId="5" borderId="1" applyAlignment="1" pivotButton="0" quotePrefix="0" xfId="0">
      <alignment horizontal="center" vertical="center" wrapText="1"/>
    </xf>
    <xf numFmtId="3" fontId="4" fillId="4" borderId="1" pivotButton="0" quotePrefix="0" xfId="0"/>
    <xf numFmtId="9" fontId="4" fillId="4" borderId="1" pivotButton="0" quotePrefix="0" xfId="0"/>
    <xf numFmtId="0" fontId="3" fillId="6" borderId="1" pivotButton="0" quotePrefix="0" xfId="0"/>
    <xf numFmtId="3" fontId="3" fillId="6" borderId="1" pivotButton="0" quotePrefix="0" xfId="0"/>
    <xf numFmtId="9" fontId="3" fillId="6" borderId="1" pivotButton="0" quotePrefix="0" xfId="0"/>
    <xf numFmtId="0" fontId="4" fillId="2" borderId="1" applyAlignment="1" pivotButton="0" quotePrefix="0" xfId="0">
      <alignment horizontal="center" vertical="center"/>
    </xf>
    <xf numFmtId="3" fontId="4" fillId="3" borderId="1" pivotButton="0" quotePrefix="0" xfId="0"/>
    <xf numFmtId="164" fontId="4" fillId="2" borderId="1" pivotButton="0" quotePrefix="0" xfId="0"/>
    <xf numFmtId="164" fontId="4" fillId="4" borderId="1" pivotButton="0" quotePrefix="0" xfId="0"/>
    <xf numFmtId="0" fontId="3" fillId="6" borderId="1" applyAlignment="1" pivotButton="0" quotePrefix="0" xfId="0">
      <alignment horizontal="center" vertical="center"/>
    </xf>
    <xf numFmtId="164" fontId="3" fillId="6" borderId="1" pivotButton="0" quotePrefix="0" xfId="0"/>
    <xf numFmtId="0" fontId="4" fillId="6" borderId="1" pivotButton="0" quotePrefix="0" xfId="0"/>
    <xf numFmtId="0" fontId="3" fillId="4" borderId="1" applyAlignment="1" pivotButton="0" quotePrefix="0" xfId="0">
      <alignment horizontal="center" vertical="center"/>
    </xf>
    <xf numFmtId="165" fontId="4" fillId="4" borderId="1" pivotButton="0" quotePrefix="0" xfId="0"/>
    <xf numFmtId="0" fontId="3" fillId="4" borderId="1" pivotButton="0" quotePrefix="0" xfId="0"/>
    <xf numFmtId="0" fontId="6" fillId="7" borderId="0" applyAlignment="1" pivotButton="0" quotePrefix="0" xfId="0">
      <alignment vertical="center"/>
    </xf>
    <xf numFmtId="0" fontId="4" fillId="7" borderId="0" pivotButton="0" quotePrefix="0" xfId="0"/>
    <xf numFmtId="0" fontId="8" fillId="7" borderId="0" applyAlignment="1" pivotButton="0" quotePrefix="0" xfId="0">
      <alignment horizontal="right" vertical="bottom"/>
    </xf>
    <xf numFmtId="0" fontId="16" fillId="0" borderId="0" pivotButton="0" quotePrefix="0" xfId="0"/>
    <xf numFmtId="0" fontId="7" fillId="7" borderId="0" pivotButton="0" quotePrefix="0" xfId="0"/>
    <xf numFmtId="0" fontId="9" fillId="7" borderId="0" applyAlignment="1" pivotButton="0" quotePrefix="0" xfId="0">
      <alignment horizontal="right" vertical="top"/>
    </xf>
    <xf numFmtId="0" fontId="13" fillId="5" borderId="0" pivotButton="0" quotePrefix="0" xfId="0"/>
    <xf numFmtId="0" fontId="17" fillId="0" borderId="0" pivotButton="0" quotePrefix="0" xfId="0"/>
    <xf numFmtId="4" fontId="0" fillId="4" borderId="0" pivotButton="0" quotePrefix="0" xfId="0"/>
    <xf numFmtId="0" fontId="10" fillId="8" borderId="0" applyAlignment="1" pivotButton="0" quotePrefix="0" xfId="0">
      <alignment vertical="bottom" indent="1"/>
    </xf>
    <xf numFmtId="0" fontId="11" fillId="8" borderId="0" applyAlignment="1" pivotButton="0" quotePrefix="0" xfId="0">
      <alignment vertical="center" indent="1"/>
    </xf>
    <xf numFmtId="0" fontId="12" fillId="8" borderId="0" applyAlignment="1" pivotButton="0" quotePrefix="0" xfId="0">
      <alignment vertical="center" indent="1"/>
    </xf>
    <xf numFmtId="0" fontId="4" fillId="8" borderId="0" pivotButton="0" quotePrefix="0" xfId="0"/>
    <xf numFmtId="0" fontId="13" fillId="5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indent="1"/>
    </xf>
    <xf numFmtId="3" fontId="4" fillId="7" borderId="2" applyAlignment="1" pivotButton="0" quotePrefix="0" xfId="0">
      <alignment horizontal="right" vertical="center"/>
    </xf>
    <xf numFmtId="9" fontId="4" fillId="7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 indent="1"/>
    </xf>
    <xf numFmtId="3" fontId="3" fillId="6" borderId="2" applyAlignment="1" pivotButton="0" quotePrefix="0" xfId="0">
      <alignment horizontal="right" vertical="center"/>
    </xf>
    <xf numFmtId="9" fontId="3" fillId="6" borderId="2" applyAlignment="1" pivotButton="0" quotePrefix="0" xfId="0">
      <alignment horizontal="center" vertical="center"/>
    </xf>
    <xf numFmtId="0" fontId="14" fillId="7" borderId="0" pivotButton="0" quotePrefix="0" xfId="0"/>
    <xf numFmtId="0" fontId="10" fillId="8" borderId="0" applyAlignment="1" pivotButton="0" quotePrefix="0" xfId="0">
      <alignment vertical="center" indent="1"/>
    </xf>
    <xf numFmtId="0" fontId="15" fillId="8" borderId="0" applyAlignment="1" pivotButton="0" quotePrefix="0" xfId="0">
      <alignment horizontal="right" vertical="center"/>
    </xf>
    <xf numFmtId="0" fontId="4" fillId="8" borderId="0" applyAlignment="1" pivotButton="0" quotePrefix="0" xfId="0">
      <alignment vertical="center"/>
    </xf>
    <xf numFmtId="0" fontId="9" fillId="8" borderId="0" applyAlignment="1" pivotButton="0" quotePrefix="0" xfId="0">
      <alignment vertical="center" indent="1"/>
    </xf>
    <xf numFmtId="0" fontId="18" fillId="5" borderId="0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indent="1"/>
    </xf>
    <xf numFmtId="0" fontId="19" fillId="7" borderId="2" applyAlignment="1" pivotButton="0" quotePrefix="0" xfId="0">
      <alignment horizontal="right" vertical="center"/>
    </xf>
    <xf numFmtId="166" fontId="19" fillId="7" borderId="2" applyAlignment="1" pivotButton="0" quotePrefix="0" xfId="0">
      <alignment horizontal="right" vertical="center"/>
    </xf>
    <xf numFmtId="9" fontId="19" fillId="7" borderId="2" applyAlignment="1" pivotButton="0" quotePrefix="0" xfId="0">
      <alignment horizontal="right" vertical="center"/>
    </xf>
    <xf numFmtId="9" fontId="19" fillId="7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 indent="1"/>
    </xf>
    <xf numFmtId="0" fontId="17" fillId="6" borderId="2" applyAlignment="1" pivotButton="0" quotePrefix="0" xfId="0">
      <alignment horizontal="right" vertical="center"/>
    </xf>
    <xf numFmtId="166" fontId="17" fillId="6" borderId="2" applyAlignment="1" pivotButton="0" quotePrefix="0" xfId="0">
      <alignment horizontal="right" vertical="center"/>
    </xf>
    <xf numFmtId="9" fontId="17" fillId="6" borderId="2" applyAlignment="1" pivotButton="0" quotePrefix="0" xfId="0">
      <alignment horizontal="right" vertical="center"/>
    </xf>
    <xf numFmtId="9" fontId="17" fillId="6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 indent="1"/>
    </xf>
    <xf numFmtId="0" fontId="13" fillId="5" borderId="2" applyAlignment="1" pivotButton="0" quotePrefix="0" xfId="0">
      <alignment horizontal="right" vertical="center"/>
    </xf>
    <xf numFmtId="166" fontId="13" fillId="5" borderId="2" applyAlignment="1" pivotButton="0" quotePrefix="0" xfId="0">
      <alignment horizontal="right" vertical="center"/>
    </xf>
    <xf numFmtId="9" fontId="13" fillId="5" borderId="2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9" fillId="8" borderId="0" applyAlignment="1" pivotButton="0" quotePrefix="0" xfId="0">
      <alignment vertical="center"/>
    </xf>
    <xf numFmtId="0" fontId="4" fillId="7" borderId="2" applyAlignment="1" pivotButton="0" quotePrefix="0" xfId="0">
      <alignment horizontal="right" vertical="center"/>
    </xf>
    <xf numFmtId="3" fontId="3" fillId="7" borderId="2" applyAlignment="1" pivotButton="0" quotePrefix="0" xfId="0">
      <alignment horizontal="right" vertical="center"/>
    </xf>
    <xf numFmtId="3" fontId="19" fillId="7" borderId="2" applyAlignment="1" pivotButton="0" quotePrefix="0" xfId="0">
      <alignment horizontal="right" vertical="center"/>
    </xf>
    <xf numFmtId="0" fontId="19" fillId="7" borderId="2" applyAlignment="1" pivotButton="0" quotePrefix="0" xfId="0">
      <alignment horizontal="center" vertical="center"/>
    </xf>
    <xf numFmtId="3" fontId="17" fillId="7" borderId="2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top"/>
    </xf>
    <xf numFmtId="0" fontId="19" fillId="8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b val="1"/>
        <color rgb="002E7D32"/>
      </font>
      <fill>
        <patternFill patternType="solid">
          <fgColor rgb="00DCF0DD"/>
          <bgColor rgb="00DCF0DD"/>
        </patternFill>
      </fill>
    </dxf>
    <dxf>
      <font>
        <b val="1"/>
        <color rgb="00C78A00"/>
      </font>
      <fill>
        <patternFill patternType="solid">
          <fgColor rgb="00FFF0C2"/>
          <bgColor rgb="00FFF0C2"/>
        </patternFill>
      </fill>
    </dxf>
    <dxf>
      <font>
        <b val="1"/>
        <color rgb="00C62828"/>
      </font>
      <fill>
        <patternFill patternType="solid">
          <fgColor rgb="00FBDADA"/>
          <bgColor rgb="00FBDADA"/>
        </patternFill>
      </fill>
    </dxf>
    <dxf>
      <font>
        <color rgb="00C62828"/>
      </font>
    </dxf>
    <dxf>
      <font>
        <color rgb="00C78A00"/>
      </font>
    </dxf>
    <dxf>
      <font>
        <color rgb="002E7D32"/>
      </font>
    </dxf>
    <dxf>
      <font>
        <color rgb="000B2545"/>
      </font>
    </dxf>
    <dxf>
      <fill>
        <patternFill patternType="solid">
          <fgColor rgb="00E3EBF5"/>
          <bgColor rgb="00E3EB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Base del Comité de Operaciones · Ventas, Revenue y Order Intake</t>
        </is>
      </c>
    </row>
    <row r="2">
      <c r="A2" s="2" t="inlineStr">
        <is>
          <t>Customer Excellence — este libro alimenta por vínculos la presentación Comite_Ventas_Vinculado.pptx</t>
        </is>
      </c>
    </row>
    <row r="4">
      <c r="A4" s="3" t="inlineStr">
        <is>
          <t>CADA SEMANA</t>
        </is>
      </c>
    </row>
    <row r="5">
      <c r="A5" s="4" t="inlineStr">
        <is>
          <t>1. Diligencie las celdas AMARILLAS de Config, Ventas_m2, Revenue, Order_Intake, Pipeline y Comentarios.</t>
        </is>
      </c>
    </row>
    <row r="6">
      <c r="A6" s="4" t="inlineStr">
        <is>
          <t xml:space="preserve">   Celdas AZULES = traen el dato de otra hoja por fórmula (puede sobrescribirlas si necesita otro valor).</t>
        </is>
      </c>
    </row>
    <row r="7">
      <c r="A7" s="4" t="inlineStr">
        <is>
          <t xml:space="preserve">   Celdas GRISES = fórmulas; no las edite.</t>
        </is>
      </c>
    </row>
    <row r="8">
      <c r="A8" s="4" t="inlineStr">
        <is>
          <t>2. Guarde el libro (Ctrl+G / Ctrl+S).</t>
        </is>
      </c>
    </row>
    <row r="9">
      <c r="A9" s="4" t="inlineStr">
        <is>
          <t>3. Abra Comite_Ventas_Vinculado.pptx y elija 'Actualizar vínculos'.</t>
        </is>
      </c>
    </row>
    <row r="10">
      <c r="A10" s="4" t="inlineStr">
        <is>
          <t xml:space="preserve">   Si PowerPoint ya estaba abierto: Archivo &gt; Información &gt; Editar vínculos a archivos &gt; seleccione todos &gt; Actualizar ahora.</t>
        </is>
      </c>
    </row>
    <row r="11">
      <c r="A11" s="4" t="inlineStr"/>
    </row>
    <row r="12">
      <c r="A12" s="4" t="inlineStr">
        <is>
          <t>PRIMERA VEZ (o si cambia la carpeta)</t>
        </is>
      </c>
    </row>
    <row r="13">
      <c r="A13" s="4" t="inlineStr">
        <is>
          <t>- Deje este Excel y el PowerPoint en la MISMA carpeta. Si la carpeta es C:\Comite_Ventas, no hay que hacer nada más.</t>
        </is>
      </c>
    </row>
    <row r="14">
      <c r="A14" s="4" t="inlineStr">
        <is>
          <t>- Si usa otra carpeta: con PowerPoint cerrado, doble clic en Actualizar_Rutas.bat (apunta todos los vínculos a esta carpeta).</t>
        </is>
      </c>
    </row>
    <row r="15">
      <c r="A15" s="4" t="inlineStr">
        <is>
          <t>- No cambie el nombre de este archivo ni de las hojas PPT_1, PPT_2, PPT_3 (los vínculos usan nombres definidos).</t>
        </is>
      </c>
    </row>
    <row r="16">
      <c r="A16" s="4" t="inlineStr"/>
    </row>
    <row r="17">
      <c r="A17" s="3" t="inlineStr">
        <is>
          <t>QUÉ HAY EN LAS HOJAS PPT_1, PPT_2, PPT_3</t>
        </is>
      </c>
    </row>
    <row r="18">
      <c r="A18" s="4" t="inlineStr">
        <is>
          <t>- Son las diapositivas 'armadas' con fórmulas: encabezado + KPIs, tablas, alertas y los datos de los gráficos.</t>
        </is>
      </c>
    </row>
    <row r="19">
      <c r="A19" s="4" t="inlineStr">
        <is>
          <t>- Cada rango vinculado tiene un nombre (Fórmulas &gt; Administrador de nombres): S1_Encabezado, S1_Tabla, S1_Alertas, etc.</t>
        </is>
      </c>
    </row>
    <row r="20">
      <c r="A20" s="4" t="inlineStr">
        <is>
          <t>- Si ajusta formato (colores, fuentes) en esos rangos, la presentación lo tomará al actualizar vínculos.</t>
        </is>
      </c>
    </row>
    <row r="21">
      <c r="A21" s="4" t="inlineStr"/>
    </row>
    <row r="22">
      <c r="A22" s="4" t="inlineStr">
        <is>
          <t>SEMÁFORO: verde ≥ umbral verde, amarillo ≥ umbral amarillo, rojo por debajo (Config).</t>
        </is>
      </c>
    </row>
    <row r="23">
      <c r="A23" s="4" t="inlineStr">
        <is>
          <t>ALERTAS: se escriben solas con fórmulas; los comentarios de la hoja Comentarios aparecen primero.</t>
        </is>
      </c>
    </row>
    <row r="26">
      <c r="A26" s="5" t="inlineStr">
        <is>
          <t>Dato de entrada</t>
        </is>
      </c>
    </row>
    <row r="27">
      <c r="A27" s="6" t="inlineStr">
        <is>
          <t>Traído por fórmula (sobrescribible)</t>
        </is>
      </c>
    </row>
    <row r="28">
      <c r="A28" s="7" t="inlineStr">
        <is>
          <t>Fórmula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1" t="inlineStr">
        <is>
          <t>Configuración del periodo</t>
        </is>
      </c>
    </row>
    <row r="2">
      <c r="A2" s="2" t="inlineStr">
        <is>
          <t>Alimenta títulos, semáforos y alertas de las 3 diapositivas</t>
        </is>
      </c>
    </row>
    <row r="3">
      <c r="A3" s="8" t="inlineStr">
        <is>
          <t>Mes</t>
        </is>
      </c>
      <c r="B3" s="5" t="inlineStr">
        <is>
          <t>Septiembre</t>
        </is>
      </c>
    </row>
    <row r="4">
      <c r="A4" s="8" t="inlineStr">
        <is>
          <t>Año</t>
        </is>
      </c>
      <c r="B4" s="9" t="n">
        <v>2026</v>
      </c>
    </row>
    <row r="5">
      <c r="A5" s="8" t="inlineStr">
        <is>
          <t>Semana de corte (1-4)</t>
        </is>
      </c>
      <c r="B5" s="9" t="n">
        <v>4</v>
      </c>
    </row>
    <row r="6">
      <c r="A6" s="8" t="inlineStr">
        <is>
          <t>Fecha del comité (texto o fecha)</t>
        </is>
      </c>
      <c r="B6" s="5" t="inlineStr">
        <is>
          <t>30/09/2026</t>
        </is>
      </c>
    </row>
    <row r="7">
      <c r="A7" s="8" t="inlineStr">
        <is>
          <t>Área que presenta</t>
        </is>
      </c>
      <c r="B7" s="5" t="inlineStr">
        <is>
          <t>Customer Excellence</t>
        </is>
      </c>
    </row>
    <row r="8">
      <c r="A8" s="8" t="inlineStr">
        <is>
          <t>Umbral verde (≥)</t>
        </is>
      </c>
      <c r="B8" s="10" t="n">
        <v>0.95</v>
      </c>
    </row>
    <row r="9">
      <c r="A9" s="8" t="inlineStr">
        <is>
          <t>Umbral amarillo (≥)</t>
        </is>
      </c>
      <c r="B9" s="10" t="n">
        <v>0.85</v>
      </c>
    </row>
    <row r="10">
      <c r="A10" s="8" t="inlineStr">
        <is>
          <t>Alcance Order Intake</t>
        </is>
      </c>
      <c r="B10" s="5" t="inlineStr">
        <is>
          <t>Premium (Env + Refri)</t>
        </is>
      </c>
    </row>
    <row r="11">
      <c r="A11" s="8" t="inlineStr">
        <is>
          <t>Budget Order Intake mes (m²)</t>
        </is>
      </c>
      <c r="B11" s="11" t="n">
        <v>147719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2" customWidth="1" min="14" max="14"/>
    <col width="11" customWidth="1" min="15" max="15"/>
    <col width="11" customWidth="1" min="16" max="16"/>
    <col width="12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inlineStr">
        <is>
          <t>Volumen de ventas (m²) por línea</t>
        </is>
      </c>
    </row>
    <row r="2">
      <c r="A2" s="2" t="inlineStr">
        <is>
          <t>F'cast W = plan de facturación semanal · Real/Proy W = facturado en semanas cerradas y proyección en la semana en curso · Real Sales = facturado acumulado. Para agregar una línea, inserte una fila dentro del grupo y ajuste el subtotal.</t>
        </is>
      </c>
    </row>
    <row r="4" ht="32" customHeight="1">
      <c r="A4" s="12" t="inlineStr">
        <is>
          <t>Línea</t>
        </is>
      </c>
      <c r="B4" s="12" t="inlineStr">
        <is>
          <t>F'cast Inicial</t>
        </is>
      </c>
      <c r="C4" s="12" t="inlineStr">
        <is>
          <t>F'cast Actual</t>
        </is>
      </c>
      <c r="D4" s="12" t="inlineStr">
        <is>
          <t>Budget</t>
        </is>
      </c>
      <c r="E4" s="12" t="inlineStr">
        <is>
          <t>F'cast W1</t>
        </is>
      </c>
      <c r="F4" s="12" t="inlineStr">
        <is>
          <t>F'cast W2</t>
        </is>
      </c>
      <c r="G4" s="12" t="inlineStr">
        <is>
          <t>F'cast W3</t>
        </is>
      </c>
      <c r="H4" s="12" t="inlineStr">
        <is>
          <t>F'cast W4</t>
        </is>
      </c>
      <c r="I4" s="12" t="inlineStr">
        <is>
          <t>Real/Proy W1</t>
        </is>
      </c>
      <c r="J4" s="12" t="inlineStr">
        <is>
          <t>Real/Proy W2</t>
        </is>
      </c>
      <c r="K4" s="12" t="inlineStr">
        <is>
          <t>Real/Proy W3</t>
        </is>
      </c>
      <c r="L4" s="12" t="inlineStr">
        <is>
          <t>Real/Proy W4</t>
        </is>
      </c>
      <c r="M4" s="12" t="inlineStr">
        <is>
          <t>Real Sales (facturado)</t>
        </is>
      </c>
      <c r="N4" s="12" t="inlineStr">
        <is>
          <t>Cierre proyectado</t>
        </is>
      </c>
      <c r="O4" s="12" t="inlineStr">
        <is>
          <t>% F'cast vs Budget</t>
        </is>
      </c>
      <c r="P4" s="12" t="inlineStr">
        <is>
          <t>% Real vs Budget</t>
        </is>
      </c>
      <c r="Q4" s="12" t="inlineStr">
        <is>
          <t>Gap Real vs Budget</t>
        </is>
      </c>
      <c r="R4" s="12" t="inlineStr">
        <is>
          <t>Cumpl. W1</t>
        </is>
      </c>
      <c r="S4" s="12" t="inlineStr">
        <is>
          <t>Cumpl. W2</t>
        </is>
      </c>
      <c r="T4" s="12" t="inlineStr">
        <is>
          <t>Cumpl. W3</t>
        </is>
      </c>
      <c r="U4" s="12" t="inlineStr">
        <is>
          <t>Cumpl. W4</t>
        </is>
      </c>
    </row>
    <row r="5">
      <c r="A5" s="5" t="inlineStr">
        <is>
          <t>Envolventes</t>
        </is>
      </c>
      <c r="B5" s="11" t="n">
        <v>103379</v>
      </c>
      <c r="C5" s="11" t="n">
        <v>83329</v>
      </c>
      <c r="D5" s="11" t="n">
        <v>91536</v>
      </c>
      <c r="E5" s="11" t="n">
        <v>25832</v>
      </c>
      <c r="F5" s="11" t="n">
        <v>16666</v>
      </c>
      <c r="G5" s="11" t="n">
        <v>19999</v>
      </c>
      <c r="H5" s="11" t="n">
        <v>20832</v>
      </c>
      <c r="I5" s="11" t="n">
        <v>28862</v>
      </c>
      <c r="J5" s="11" t="n">
        <v>19733</v>
      </c>
      <c r="K5" s="11" t="n">
        <v>17184</v>
      </c>
      <c r="L5" s="11" t="n">
        <v>17550</v>
      </c>
      <c r="M5" s="11" t="n">
        <v>80178</v>
      </c>
      <c r="N5" s="13">
        <f>SUM(I5:L5)</f>
        <v/>
      </c>
      <c r="O5" s="14">
        <f>IF(D5=0,"",C5/D5)</f>
        <v/>
      </c>
      <c r="P5" s="14">
        <f>IF(D5=0,"",M5/D5)</f>
        <v/>
      </c>
      <c r="Q5" s="13">
        <f>M5-D5</f>
        <v/>
      </c>
      <c r="R5" s="14">
        <f>IF(OR(E5=0,1&gt;Config!$B$5),"",I5/E5)</f>
        <v/>
      </c>
      <c r="S5" s="14">
        <f>IF(OR(F5=0,2&gt;Config!$B$5),"",J5/F5)</f>
        <v/>
      </c>
      <c r="T5" s="14">
        <f>IF(OR(G5=0,3&gt;Config!$B$5),"",K5/G5)</f>
        <v/>
      </c>
      <c r="U5" s="14">
        <f>IF(OR(H5=0,4&gt;Config!$B$5),"",L5/H5)</f>
        <v/>
      </c>
    </row>
    <row r="6">
      <c r="A6" s="5" t="inlineStr">
        <is>
          <t>Refrigeración</t>
        </is>
      </c>
      <c r="B6" s="11" t="n">
        <v>35600</v>
      </c>
      <c r="C6" s="11" t="n">
        <v>41293</v>
      </c>
      <c r="D6" s="11" t="n">
        <v>43141</v>
      </c>
      <c r="E6" s="11" t="n">
        <v>12801</v>
      </c>
      <c r="F6" s="11" t="n">
        <v>8259</v>
      </c>
      <c r="G6" s="11" t="n">
        <v>9910</v>
      </c>
      <c r="H6" s="11" t="n">
        <v>10323</v>
      </c>
      <c r="I6" s="11" t="n">
        <v>12610</v>
      </c>
      <c r="J6" s="11" t="n">
        <v>5429</v>
      </c>
      <c r="K6" s="11" t="n">
        <v>8229</v>
      </c>
      <c r="L6" s="11" t="n">
        <v>15025</v>
      </c>
      <c r="M6" s="11" t="n">
        <v>33426</v>
      </c>
      <c r="N6" s="13">
        <f>SUM(I6:L6)</f>
        <v/>
      </c>
      <c r="O6" s="14">
        <f>IF(D6=0,"",C6/D6)</f>
        <v/>
      </c>
      <c r="P6" s="14">
        <f>IF(D6=0,"",M6/D6)</f>
        <v/>
      </c>
      <c r="Q6" s="13">
        <f>M6-D6</f>
        <v/>
      </c>
      <c r="R6" s="14">
        <f>IF(OR(E6=0,1&gt;Config!$B$5),"",I6/E6)</f>
        <v/>
      </c>
      <c r="S6" s="14">
        <f>IF(OR(F6=0,2&gt;Config!$B$5),"",J6/F6)</f>
        <v/>
      </c>
      <c r="T6" s="14">
        <f>IF(OR(G6=0,3&gt;Config!$B$5),"",K6/G6)</f>
        <v/>
      </c>
      <c r="U6" s="14">
        <f>IF(OR(H6=0,4&gt;Config!$B$5),"",L6/H6)</f>
        <v/>
      </c>
    </row>
    <row r="7">
      <c r="A7" s="15" t="inlineStr">
        <is>
          <t>Premium</t>
        </is>
      </c>
      <c r="B7" s="16">
        <f>SUM(B5:B6)</f>
        <v/>
      </c>
      <c r="C7" s="16">
        <f>SUM(C5:C6)</f>
        <v/>
      </c>
      <c r="D7" s="16">
        <f>SUM(D5:D6)</f>
        <v/>
      </c>
      <c r="E7" s="16">
        <f>SUM(E5:E6)</f>
        <v/>
      </c>
      <c r="F7" s="16">
        <f>SUM(F5:F6)</f>
        <v/>
      </c>
      <c r="G7" s="16">
        <f>SUM(G5:G6)</f>
        <v/>
      </c>
      <c r="H7" s="16">
        <f>SUM(H5:H6)</f>
        <v/>
      </c>
      <c r="I7" s="16">
        <f>SUM(I5:I6)</f>
        <v/>
      </c>
      <c r="J7" s="16">
        <f>SUM(J5:J6)</f>
        <v/>
      </c>
      <c r="K7" s="16">
        <f>SUM(K5:K6)</f>
        <v/>
      </c>
      <c r="L7" s="16">
        <f>SUM(L5:L6)</f>
        <v/>
      </c>
      <c r="M7" s="16">
        <f>SUM(M5:M6)</f>
        <v/>
      </c>
      <c r="N7" s="16">
        <f>SUM(I7:L7)</f>
        <v/>
      </c>
      <c r="O7" s="17">
        <f>IF(D7=0,"",C7/D7)</f>
        <v/>
      </c>
      <c r="P7" s="17">
        <f>IF(D7=0,"",M7/D7)</f>
        <v/>
      </c>
      <c r="Q7" s="16">
        <f>M7-D7</f>
        <v/>
      </c>
      <c r="R7" s="17">
        <f>IF(OR(E7=0,1&gt;Config!$B$5),"",I7/E7)</f>
        <v/>
      </c>
      <c r="S7" s="17">
        <f>IF(OR(F7=0,2&gt;Config!$B$5),"",J7/F7)</f>
        <v/>
      </c>
      <c r="T7" s="17">
        <f>IF(OR(G7=0,3&gt;Config!$B$5),"",K7/G7)</f>
        <v/>
      </c>
      <c r="U7" s="17">
        <f>IF(OR(H7=0,4&gt;Config!$B$5),"",L7/H7)</f>
        <v/>
      </c>
    </row>
    <row r="8">
      <c r="A8" s="5" t="inlineStr">
        <is>
          <t>KingCore</t>
        </is>
      </c>
      <c r="B8" s="11" t="n">
        <v>29779</v>
      </c>
      <c r="C8" s="11" t="n">
        <v>25931</v>
      </c>
      <c r="D8" s="11" t="n">
        <v>27974</v>
      </c>
      <c r="E8" s="11" t="n">
        <v>3690</v>
      </c>
      <c r="F8" s="11" t="n">
        <v>5186</v>
      </c>
      <c r="G8" s="11" t="n">
        <v>10572</v>
      </c>
      <c r="H8" s="11" t="n">
        <v>6483</v>
      </c>
      <c r="I8" s="11" t="n">
        <v>4460</v>
      </c>
      <c r="J8" s="11" t="n">
        <v>1760</v>
      </c>
      <c r="K8" s="11" t="n">
        <v>9860</v>
      </c>
      <c r="L8" s="11" t="n">
        <v>9129</v>
      </c>
      <c r="M8" s="11" t="n">
        <v>25209</v>
      </c>
      <c r="N8" s="13">
        <f>SUM(I8:L8)</f>
        <v/>
      </c>
      <c r="O8" s="14">
        <f>IF(D8=0,"",C8/D8)</f>
        <v/>
      </c>
      <c r="P8" s="14">
        <f>IF(D8=0,"",M8/D8)</f>
        <v/>
      </c>
      <c r="Q8" s="13">
        <f>M8-D8</f>
        <v/>
      </c>
      <c r="R8" s="14">
        <f>IF(OR(E8=0,1&gt;Config!$B$5),"",I8/E8)</f>
        <v/>
      </c>
      <c r="S8" s="14">
        <f>IF(OR(F8=0,2&gt;Config!$B$5),"",J8/F8)</f>
        <v/>
      </c>
      <c r="T8" s="14">
        <f>IF(OR(G8=0,3&gt;Config!$B$5),"",K8/G8)</f>
        <v/>
      </c>
      <c r="U8" s="14">
        <f>IF(OR(H8=0,4&gt;Config!$B$5),"",L8/H8)</f>
        <v/>
      </c>
    </row>
    <row r="9">
      <c r="A9" s="5" t="inlineStr">
        <is>
          <t>Single Skin</t>
        </is>
      </c>
      <c r="B9" s="11" t="n">
        <v>23851</v>
      </c>
      <c r="C9" s="11" t="n">
        <v>4594</v>
      </c>
      <c r="D9" s="11" t="n">
        <v>20387</v>
      </c>
      <c r="E9" s="11" t="n">
        <v>721</v>
      </c>
      <c r="F9" s="11" t="n">
        <v>2800</v>
      </c>
      <c r="G9" s="11" t="n">
        <v>0</v>
      </c>
      <c r="H9" s="11" t="n">
        <v>1073</v>
      </c>
      <c r="I9" s="11" t="n">
        <v>2209</v>
      </c>
      <c r="J9" s="11" t="n">
        <v>1042</v>
      </c>
      <c r="K9" s="11" t="n">
        <v>0</v>
      </c>
      <c r="L9" s="11" t="n">
        <v>1343</v>
      </c>
      <c r="M9" s="11" t="n">
        <v>3251</v>
      </c>
      <c r="N9" s="13">
        <f>SUM(I9:L9)</f>
        <v/>
      </c>
      <c r="O9" s="14">
        <f>IF(D9=0,"",C9/D9)</f>
        <v/>
      </c>
      <c r="P9" s="14">
        <f>IF(D9=0,"",M9/D9)</f>
        <v/>
      </c>
      <c r="Q9" s="13">
        <f>M9-D9</f>
        <v/>
      </c>
      <c r="R9" s="14">
        <f>IF(OR(E9=0,1&gt;Config!$B$5),"",I9/E9)</f>
        <v/>
      </c>
      <c r="S9" s="14">
        <f>IF(OR(F9=0,2&gt;Config!$B$5),"",J9/F9)</f>
        <v/>
      </c>
      <c r="T9" s="14">
        <f>IF(OR(G9=0,3&gt;Config!$B$5),"",K9/G9)</f>
        <v/>
      </c>
      <c r="U9" s="14">
        <f>IF(OR(H9=0,4&gt;Config!$B$5),"",L9/H9)</f>
        <v/>
      </c>
    </row>
    <row r="10">
      <c r="A10" s="5" t="inlineStr">
        <is>
          <t>Ducto</t>
        </is>
      </c>
      <c r="B10" s="11" t="n">
        <v>520</v>
      </c>
      <c r="C10" s="11" t="n">
        <v>1044</v>
      </c>
      <c r="D10" s="11" t="n">
        <v>1385</v>
      </c>
      <c r="E10" s="11" t="n">
        <v>396</v>
      </c>
      <c r="F10" s="11" t="n">
        <v>0</v>
      </c>
      <c r="G10" s="11" t="n">
        <v>520</v>
      </c>
      <c r="H10" s="11" t="n">
        <v>0</v>
      </c>
      <c r="I10" s="11" t="n">
        <v>1044</v>
      </c>
      <c r="J10" s="11" t="n">
        <v>0</v>
      </c>
      <c r="K10" s="11" t="n">
        <v>0</v>
      </c>
      <c r="L10" s="11" t="n">
        <v>0</v>
      </c>
      <c r="M10" s="11" t="n">
        <v>1044</v>
      </c>
      <c r="N10" s="13">
        <f>SUM(I10:L10)</f>
        <v/>
      </c>
      <c r="O10" s="14">
        <f>IF(D10=0,"",C10/D10)</f>
        <v/>
      </c>
      <c r="P10" s="14">
        <f>IF(D10=0,"",M10/D10)</f>
        <v/>
      </c>
      <c r="Q10" s="13">
        <f>M10-D10</f>
        <v/>
      </c>
      <c r="R10" s="14">
        <f>IF(OR(E10=0,1&gt;Config!$B$5),"",I10/E10)</f>
        <v/>
      </c>
      <c r="S10" s="14">
        <f>IF(OR(F10=0,2&gt;Config!$B$5),"",J10/F10)</f>
        <v/>
      </c>
      <c r="T10" s="14">
        <f>IF(OR(G10=0,3&gt;Config!$B$5),"",K10/G10)</f>
        <v/>
      </c>
      <c r="U10" s="14">
        <f>IF(OR(H10=0,4&gt;Config!$B$5),"",L10/H10)</f>
        <v/>
      </c>
    </row>
    <row r="11">
      <c r="A11" s="15" t="inlineStr">
        <is>
          <t>Estándar</t>
        </is>
      </c>
      <c r="B11" s="16">
        <f>SUM(B8:B10)</f>
        <v/>
      </c>
      <c r="C11" s="16">
        <f>SUM(C8:C10)</f>
        <v/>
      </c>
      <c r="D11" s="16">
        <f>SUM(D8:D10)</f>
        <v/>
      </c>
      <c r="E11" s="16">
        <f>SUM(E8:E10)</f>
        <v/>
      </c>
      <c r="F11" s="16">
        <f>SUM(F8:F10)</f>
        <v/>
      </c>
      <c r="G11" s="16">
        <f>SUM(G8:G10)</f>
        <v/>
      </c>
      <c r="H11" s="16">
        <f>SUM(H8:H10)</f>
        <v/>
      </c>
      <c r="I11" s="16">
        <f>SUM(I8:I10)</f>
        <v/>
      </c>
      <c r="J11" s="16">
        <f>SUM(J8:J10)</f>
        <v/>
      </c>
      <c r="K11" s="16">
        <f>SUM(K8:K10)</f>
        <v/>
      </c>
      <c r="L11" s="16">
        <f>SUM(L8:L10)</f>
        <v/>
      </c>
      <c r="M11" s="16">
        <f>SUM(M8:M10)</f>
        <v/>
      </c>
      <c r="N11" s="16">
        <f>SUM(I11:L11)</f>
        <v/>
      </c>
      <c r="O11" s="17">
        <f>IF(D11=0,"",C11/D11)</f>
        <v/>
      </c>
      <c r="P11" s="17">
        <f>IF(D11=0,"",M11/D11)</f>
        <v/>
      </c>
      <c r="Q11" s="16">
        <f>M11-D11</f>
        <v/>
      </c>
      <c r="R11" s="17">
        <f>IF(OR(E11=0,1&gt;Config!$B$5),"",I11/E11)</f>
        <v/>
      </c>
      <c r="S11" s="17">
        <f>IF(OR(F11=0,2&gt;Config!$B$5),"",J11/F11)</f>
        <v/>
      </c>
      <c r="T11" s="17">
        <f>IF(OR(G11=0,3&gt;Config!$B$5),"",K11/G11)</f>
        <v/>
      </c>
      <c r="U11" s="17">
        <f>IF(OR(H11=0,4&gt;Config!$B$5),"",L11/H11)</f>
        <v/>
      </c>
    </row>
    <row r="12">
      <c r="A12" s="5" t="inlineStr">
        <is>
          <t>Línea Arquitectónica</t>
        </is>
      </c>
      <c r="B12" s="11" t="n">
        <v>718</v>
      </c>
      <c r="C12" s="11" t="n">
        <v>718</v>
      </c>
      <c r="D12" s="11" t="n">
        <v>3182</v>
      </c>
      <c r="E12" s="11" t="n">
        <v>0</v>
      </c>
      <c r="F12" s="11" t="n">
        <v>0</v>
      </c>
      <c r="G12" s="11" t="n">
        <v>0</v>
      </c>
      <c r="H12" s="11" t="n">
        <v>718</v>
      </c>
      <c r="I12" s="11" t="n">
        <v>0</v>
      </c>
      <c r="J12" s="11" t="n">
        <v>264</v>
      </c>
      <c r="K12" s="11" t="n">
        <v>0</v>
      </c>
      <c r="L12" s="11" t="n">
        <v>0</v>
      </c>
      <c r="M12" s="11" t="n">
        <v>264</v>
      </c>
      <c r="N12" s="13">
        <f>SUM(I12:L12)</f>
        <v/>
      </c>
      <c r="O12" s="14">
        <f>IF(D12=0,"",C12/D12)</f>
        <v/>
      </c>
      <c r="P12" s="14">
        <f>IF(D12=0,"",M12/D12)</f>
        <v/>
      </c>
      <c r="Q12" s="13">
        <f>M12-D12</f>
        <v/>
      </c>
      <c r="R12" s="14">
        <f>IF(OR(E12=0,1&gt;Config!$B$5),"",I12/E12)</f>
        <v/>
      </c>
      <c r="S12" s="14">
        <f>IF(OR(F12=0,2&gt;Config!$B$5),"",J12/F12)</f>
        <v/>
      </c>
      <c r="T12" s="14">
        <f>IF(OR(G12=0,3&gt;Config!$B$5),"",K12/G12)</f>
        <v/>
      </c>
      <c r="U12" s="14">
        <f>IF(OR(H12=0,4&gt;Config!$B$5),"",L12/H12)</f>
        <v/>
      </c>
    </row>
    <row r="13">
      <c r="A13" s="15" t="inlineStr">
        <is>
          <t>Total</t>
        </is>
      </c>
      <c r="B13" s="16">
        <f>B7+B11+B12</f>
        <v/>
      </c>
      <c r="C13" s="16">
        <f>C7+C11+C12</f>
        <v/>
      </c>
      <c r="D13" s="16">
        <f>D7+D11+D12</f>
        <v/>
      </c>
      <c r="E13" s="16">
        <f>E7+E11+E12</f>
        <v/>
      </c>
      <c r="F13" s="16">
        <f>F7+F11+F12</f>
        <v/>
      </c>
      <c r="G13" s="16">
        <f>G7+G11+G12</f>
        <v/>
      </c>
      <c r="H13" s="16">
        <f>H7+H11+H12</f>
        <v/>
      </c>
      <c r="I13" s="16">
        <f>I7+I11+I12</f>
        <v/>
      </c>
      <c r="J13" s="16">
        <f>J7+J11+J12</f>
        <v/>
      </c>
      <c r="K13" s="16">
        <f>K7+K11+K12</f>
        <v/>
      </c>
      <c r="L13" s="16">
        <f>L7+L11+L12</f>
        <v/>
      </c>
      <c r="M13" s="16">
        <f>M7+M11+M12</f>
        <v/>
      </c>
      <c r="N13" s="16">
        <f>SUM(I13:L13)</f>
        <v/>
      </c>
      <c r="O13" s="17">
        <f>IF(D13=0,"",C13/D13)</f>
        <v/>
      </c>
      <c r="P13" s="17">
        <f>IF(D13=0,"",M13/D13)</f>
        <v/>
      </c>
      <c r="Q13" s="16">
        <f>M13-D13</f>
        <v/>
      </c>
      <c r="R13" s="17">
        <f>IF(OR(E13=0,1&gt;Config!$B$5),"",I13/E13)</f>
        <v/>
      </c>
      <c r="S13" s="17">
        <f>IF(OR(F13=0,2&gt;Config!$B$5),"",J13/F13)</f>
        <v/>
      </c>
      <c r="T13" s="17">
        <f>IF(OR(G13=0,3&gt;Config!$B$5),"",K13/G13)</f>
        <v/>
      </c>
      <c r="U13" s="17">
        <f>IF(OR(H13=0,4&gt;Config!$B$5),"",L13/H13)</f>
        <v/>
      </c>
    </row>
  </sheetData>
  <conditionalFormatting sqref="O5:P13">
    <cfRule type="expression" priority="1" dxfId="0" stopIfTrue="1">
      <formula>AND(ISNUMBER(O5),O5&gt;=Config!$B$8)</formula>
    </cfRule>
    <cfRule type="expression" priority="2" dxfId="1" stopIfTrue="1">
      <formula>AND(ISNUMBER(O5),O5&gt;=Config!$B$9)</formula>
    </cfRule>
    <cfRule type="expression" priority="3" dxfId="2" stopIfTrue="1">
      <formula>ISNUMBER(O5)</formula>
    </cfRule>
  </conditionalFormatting>
  <conditionalFormatting sqref="R5:U13">
    <cfRule type="expression" priority="4" dxfId="0" stopIfTrue="1">
      <formula>AND(ISNUMBER(R5),R5&gt;=Config!$B$8)</formula>
    </cfRule>
    <cfRule type="expression" priority="5" dxfId="1" stopIfTrue="1">
      <formula>AND(ISNUMBER(R5),R5&gt;=Config!$B$9)</formula>
    </cfRule>
    <cfRule type="expression" priority="6" dxfId="2" stopIfTrue="1">
      <formula>ISNUMBER(R5)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20" customWidth="1" min="4" max="4"/>
    <col width="14" customWidth="1" min="5" max="5"/>
    <col width="20" customWidth="1" min="6" max="6"/>
    <col width="15" customWidth="1" min="7" max="7"/>
    <col width="13" customWidth="1" min="8" max="8"/>
    <col width="12" customWidth="1" min="9" max="9"/>
  </cols>
  <sheetData>
    <row r="1">
      <c r="A1" s="1" t="inlineStr">
        <is>
          <t>Revenue (COP) por línea — F'cast del mes</t>
        </is>
      </c>
    </row>
    <row r="2">
      <c r="A2" s="2" t="inlineStr">
        <is>
          <t>Cantidades y Budget de las líneas de panel vienen de Ventas_m2 (azul). % Perf. = cantidad ÷ Budget cantidad o, si no hay, Revenue ÷ Budget COP. En subtotales, solo sobre las líneas que tienen Budget.</t>
        </is>
      </c>
    </row>
    <row r="4" ht="32" customHeight="1">
      <c r="A4" s="12" t="inlineStr">
        <is>
          <t>Línea</t>
        </is>
      </c>
      <c r="B4" s="12" t="inlineStr">
        <is>
          <t>Unidad</t>
        </is>
      </c>
      <c r="C4" s="12" t="inlineStr">
        <is>
          <t>Cantidad F'cast</t>
        </is>
      </c>
      <c r="D4" s="12" t="inlineStr">
        <is>
          <t>Revenue F'cast (COP)</t>
        </is>
      </c>
      <c r="E4" s="12" t="inlineStr">
        <is>
          <t>Budget cantidad</t>
        </is>
      </c>
      <c r="F4" s="12" t="inlineStr">
        <is>
          <t>Budget Revenue (COP)</t>
        </is>
      </c>
      <c r="G4" s="12" t="inlineStr">
        <is>
          <t>Precio promedio</t>
        </is>
      </c>
      <c r="H4" s="12" t="inlineStr">
        <is>
          <t>% Performance</t>
        </is>
      </c>
      <c r="I4" s="12" t="inlineStr">
        <is>
          <t>% Mix Revenue</t>
        </is>
      </c>
    </row>
    <row r="5">
      <c r="A5" s="5" t="inlineStr">
        <is>
          <t>Envolventes</t>
        </is>
      </c>
      <c r="B5" s="18" t="inlineStr">
        <is>
          <t>m²</t>
        </is>
      </c>
      <c r="C5" s="19">
        <f>Ventas_m2!C5</f>
        <v/>
      </c>
      <c r="D5" s="20" t="n">
        <v>9169606489</v>
      </c>
      <c r="E5" s="19">
        <f>Ventas_m2!D5</f>
        <v/>
      </c>
      <c r="F5" s="20" t="n"/>
      <c r="G5" s="21">
        <f>IF(N(C5)=0,"",D5/C5)</f>
        <v/>
      </c>
      <c r="H5" s="14">
        <f>IF(N(E5)&gt;0,C5/E5,IF(N(F5)&gt;0,D5/F5,""))</f>
        <v/>
      </c>
      <c r="I5" s="14">
        <f>IF($D$19=0,"",D5/$D$19)</f>
        <v/>
      </c>
    </row>
    <row r="6">
      <c r="A6" s="5" t="inlineStr">
        <is>
          <t>Refrigeración</t>
        </is>
      </c>
      <c r="B6" s="18" t="inlineStr">
        <is>
          <t>m²</t>
        </is>
      </c>
      <c r="C6" s="19">
        <f>Ventas_m2!C6</f>
        <v/>
      </c>
      <c r="D6" s="20" t="n">
        <v>4478225850</v>
      </c>
      <c r="E6" s="19">
        <f>Ventas_m2!D6</f>
        <v/>
      </c>
      <c r="F6" s="20" t="n"/>
      <c r="G6" s="21">
        <f>IF(N(C6)=0,"",D6/C6)</f>
        <v/>
      </c>
      <c r="H6" s="14">
        <f>IF(N(E6)&gt;0,C6/E6,IF(N(F6)&gt;0,D6/F6,""))</f>
        <v/>
      </c>
      <c r="I6" s="14">
        <f>IF($D$19=0,"",D6/$D$19)</f>
        <v/>
      </c>
    </row>
    <row r="7">
      <c r="A7" s="15" t="inlineStr">
        <is>
          <t>Premium</t>
        </is>
      </c>
      <c r="B7" s="22" t="inlineStr">
        <is>
          <t>m²</t>
        </is>
      </c>
      <c r="C7" s="16">
        <f>SUM(C5:C6)</f>
        <v/>
      </c>
      <c r="D7" s="23">
        <f>SUM(D5:D6)</f>
        <v/>
      </c>
      <c r="E7" s="16">
        <f>SUM(E5:E6)</f>
        <v/>
      </c>
      <c r="F7" s="23">
        <f>SUM(F5:F6)</f>
        <v/>
      </c>
      <c r="G7" s="23">
        <f>IF(N(C7)=0,"",D7/C7)</f>
        <v/>
      </c>
      <c r="H7" s="17">
        <f>IF(E7&gt;0,SUMIF(E5:E6,"&gt;0",C5:C6)/E7,IF(F7&gt;0,D7/F7,""))</f>
        <v/>
      </c>
      <c r="I7" s="17">
        <f>IF($D$19=0,"",D7/$D$19)</f>
        <v/>
      </c>
    </row>
    <row r="8">
      <c r="A8" s="5" t="inlineStr">
        <is>
          <t>KingCore</t>
        </is>
      </c>
      <c r="B8" s="18" t="inlineStr">
        <is>
          <t>m²</t>
        </is>
      </c>
      <c r="C8" s="19">
        <f>Ventas_m2!C8</f>
        <v/>
      </c>
      <c r="D8" s="20" t="n">
        <v>836015895</v>
      </c>
      <c r="E8" s="19">
        <f>Ventas_m2!D8</f>
        <v/>
      </c>
      <c r="F8" s="20" t="n"/>
      <c r="G8" s="21">
        <f>IF(N(C8)=0,"",D8/C8)</f>
        <v/>
      </c>
      <c r="H8" s="14">
        <f>IF(N(E8)&gt;0,C8/E8,IF(N(F8)&gt;0,D8/F8,""))</f>
        <v/>
      </c>
      <c r="I8" s="14">
        <f>IF($D$19=0,"",D8/$D$19)</f>
        <v/>
      </c>
    </row>
    <row r="9">
      <c r="A9" s="5" t="inlineStr">
        <is>
          <t>Single Skin</t>
        </is>
      </c>
      <c r="B9" s="18" t="inlineStr">
        <is>
          <t>m²</t>
        </is>
      </c>
      <c r="C9" s="19">
        <f>Ventas_m2!C9</f>
        <v/>
      </c>
      <c r="D9" s="20" t="n">
        <v>103998996</v>
      </c>
      <c r="E9" s="19">
        <f>Ventas_m2!D9</f>
        <v/>
      </c>
      <c r="F9" s="20" t="n"/>
      <c r="G9" s="21">
        <f>IF(N(C9)=0,"",D9/C9)</f>
        <v/>
      </c>
      <c r="H9" s="14">
        <f>IF(N(E9)&gt;0,C9/E9,IF(N(F9)&gt;0,D9/F9,""))</f>
        <v/>
      </c>
      <c r="I9" s="14">
        <f>IF($D$19=0,"",D9/$D$19)</f>
        <v/>
      </c>
    </row>
    <row r="10">
      <c r="A10" s="5" t="inlineStr">
        <is>
          <t>Ducto</t>
        </is>
      </c>
      <c r="B10" s="18" t="inlineStr">
        <is>
          <t>m²</t>
        </is>
      </c>
      <c r="C10" s="19">
        <f>Ventas_m2!C10</f>
        <v/>
      </c>
      <c r="D10" s="20" t="n">
        <v>52372800</v>
      </c>
      <c r="E10" s="19">
        <f>Ventas_m2!D10</f>
        <v/>
      </c>
      <c r="F10" s="20" t="n"/>
      <c r="G10" s="21">
        <f>IF(N(C10)=0,"",D10/C10)</f>
        <v/>
      </c>
      <c r="H10" s="14">
        <f>IF(N(E10)&gt;0,C10/E10,IF(N(F10)&gt;0,D10/F10,""))</f>
        <v/>
      </c>
      <c r="I10" s="14">
        <f>IF($D$19=0,"",D10/$D$19)</f>
        <v/>
      </c>
    </row>
    <row r="11">
      <c r="A11" s="5" t="inlineStr">
        <is>
          <t>Traslúcida</t>
        </is>
      </c>
      <c r="B11" s="18" t="inlineStr">
        <is>
          <t>m²</t>
        </is>
      </c>
      <c r="C11" s="11" t="n">
        <v>2155</v>
      </c>
      <c r="D11" s="20" t="n">
        <v>573520000</v>
      </c>
      <c r="E11" s="11" t="n"/>
      <c r="F11" s="20" t="n"/>
      <c r="G11" s="21">
        <f>IF(N(C11)=0,"",D11/C11)</f>
        <v/>
      </c>
      <c r="H11" s="14">
        <f>IF(N(E11)&gt;0,C11/E11,IF(N(F11)&gt;0,D11/F11,""))</f>
        <v/>
      </c>
      <c r="I11" s="14">
        <f>IF($D$19=0,"",D11/$D$19)</f>
        <v/>
      </c>
    </row>
    <row r="12">
      <c r="A12" s="15" t="inlineStr">
        <is>
          <t>Estándar</t>
        </is>
      </c>
      <c r="B12" s="22" t="inlineStr">
        <is>
          <t>m²</t>
        </is>
      </c>
      <c r="C12" s="16">
        <f>SUM(C8:C11)</f>
        <v/>
      </c>
      <c r="D12" s="23">
        <f>SUM(D8:D11)</f>
        <v/>
      </c>
      <c r="E12" s="16">
        <f>SUM(E8:E11)</f>
        <v/>
      </c>
      <c r="F12" s="23">
        <f>SUM(F8:F11)</f>
        <v/>
      </c>
      <c r="G12" s="23">
        <f>IF(N(C12)=0,"",D12/C12)</f>
        <v/>
      </c>
      <c r="H12" s="17">
        <f>IF(E12&gt;0,SUMIF(E8:E11,"&gt;0",C8:C11)/E12,IF(F12&gt;0,D12/F12,""))</f>
        <v/>
      </c>
      <c r="I12" s="17">
        <f>IF($D$19=0,"",D12/$D$19)</f>
        <v/>
      </c>
    </row>
    <row r="13">
      <c r="A13" s="5" t="inlineStr">
        <is>
          <t>Línea Arquitectónica</t>
        </is>
      </c>
      <c r="B13" s="18" t="inlineStr">
        <is>
          <t>m²</t>
        </is>
      </c>
      <c r="C13" s="11" t="n">
        <v>264</v>
      </c>
      <c r="D13" s="20" t="n">
        <v>20500000</v>
      </c>
      <c r="E13" s="19">
        <f>Ventas_m2!D12</f>
        <v/>
      </c>
      <c r="F13" s="20" t="n"/>
      <c r="G13" s="21">
        <f>IF(N(C13)=0,"",D13/C13)</f>
        <v/>
      </c>
      <c r="H13" s="14">
        <f>IF(N(E13)&gt;0,C13/E13,IF(N(F13)&gt;0,D13/F13,""))</f>
        <v/>
      </c>
      <c r="I13" s="14">
        <f>IF($D$19=0,"",D13/$D$19)</f>
        <v/>
      </c>
    </row>
    <row r="14">
      <c r="A14" s="5" t="inlineStr">
        <is>
          <t>Proyectos</t>
        </is>
      </c>
      <c r="B14" s="18" t="inlineStr">
        <is>
          <t>—</t>
        </is>
      </c>
      <c r="C14" s="11" t="n"/>
      <c r="D14" s="20" t="n">
        <v>328000000</v>
      </c>
      <c r="E14" s="11" t="n"/>
      <c r="F14" s="20" t="n">
        <v>533000000</v>
      </c>
      <c r="G14" s="21">
        <f>IF(N(C14)=0,"",D14/C14)</f>
        <v/>
      </c>
      <c r="H14" s="14">
        <f>IF(N(E14)&gt;0,C14/E14,IF(N(F14)&gt;0,D14/F14,""))</f>
        <v/>
      </c>
      <c r="I14" s="14">
        <f>IF($D$19=0,"",D14/$D$19)</f>
        <v/>
      </c>
    </row>
    <row r="15">
      <c r="A15" s="5" t="inlineStr">
        <is>
          <t>Fijaciones y Accesorios</t>
        </is>
      </c>
      <c r="B15" s="18" t="inlineStr">
        <is>
          <t>—</t>
        </is>
      </c>
      <c r="C15" s="11" t="n"/>
      <c r="D15" s="20" t="n">
        <v>1007000000</v>
      </c>
      <c r="E15" s="11" t="n"/>
      <c r="F15" s="20" t="n"/>
      <c r="G15" s="21">
        <f>IF(N(C15)=0,"",D15/C15)</f>
        <v/>
      </c>
      <c r="H15" s="14">
        <f>IF(N(E15)&gt;0,C15/E15,IF(N(F15)&gt;0,D15/F15,""))</f>
        <v/>
      </c>
      <c r="I15" s="14">
        <f>IF($D$19=0,"",D15/$D$19)</f>
        <v/>
      </c>
    </row>
    <row r="16">
      <c r="A16" s="5" t="inlineStr">
        <is>
          <t>Consumibles</t>
        </is>
      </c>
      <c r="B16" s="18" t="inlineStr">
        <is>
          <t>—</t>
        </is>
      </c>
      <c r="C16" s="11" t="n"/>
      <c r="D16" s="20" t="n">
        <v>0</v>
      </c>
      <c r="E16" s="11" t="n"/>
      <c r="F16" s="20" t="n"/>
      <c r="G16" s="21">
        <f>IF(N(C16)=0,"",D16/C16)</f>
        <v/>
      </c>
      <c r="H16" s="14">
        <f>IF(N(E16)&gt;0,C16/E16,IF(N(F16)&gt;0,D16/F16,""))</f>
        <v/>
      </c>
      <c r="I16" s="14">
        <f>IF($D$19=0,"",D16/$D$19)</f>
        <v/>
      </c>
    </row>
    <row r="17">
      <c r="A17" s="5" t="inlineStr">
        <is>
          <t>Puertas</t>
        </is>
      </c>
      <c r="B17" s="18" t="inlineStr">
        <is>
          <t>und</t>
        </is>
      </c>
      <c r="C17" s="11" t="n">
        <v>17</v>
      </c>
      <c r="D17" s="20" t="n">
        <v>83050000</v>
      </c>
      <c r="E17" s="11" t="n"/>
      <c r="F17" s="20" t="n"/>
      <c r="G17" s="21">
        <f>IF(N(C17)=0,"",D17/C17)</f>
        <v/>
      </c>
      <c r="H17" s="14">
        <f>IF(N(E17)&gt;0,C17/E17,IF(N(F17)&gt;0,D17/F17,""))</f>
        <v/>
      </c>
      <c r="I17" s="14">
        <f>IF($D$19=0,"",D17/$D$19)</f>
        <v/>
      </c>
    </row>
    <row r="18">
      <c r="A18" s="5" t="inlineStr">
        <is>
          <t>Facturación ICO</t>
        </is>
      </c>
      <c r="B18" s="18" t="inlineStr">
        <is>
          <t>—</t>
        </is>
      </c>
      <c r="C18" s="11" t="n"/>
      <c r="D18" s="20" t="n">
        <v>1251189846</v>
      </c>
      <c r="E18" s="11" t="n"/>
      <c r="F18" s="20" t="n"/>
      <c r="G18" s="21">
        <f>IF(N(C18)=0,"",D18/C18)</f>
        <v/>
      </c>
      <c r="H18" s="14">
        <f>IF(N(E18)&gt;0,C18/E18,IF(N(F18)&gt;0,D18/F18,""))</f>
        <v/>
      </c>
      <c r="I18" s="14">
        <f>IF($D$19=0,"",D18/$D$19)</f>
        <v/>
      </c>
    </row>
    <row r="19">
      <c r="A19" s="15" t="inlineStr">
        <is>
          <t>TOTAL F'cast (COP)</t>
        </is>
      </c>
      <c r="B19" s="22" t="inlineStr"/>
      <c r="C19" s="24" t="inlineStr"/>
      <c r="D19" s="23">
        <f>D7+D12+D13+D14+D15+D16+D17+D18</f>
        <v/>
      </c>
      <c r="E19" s="24" t="inlineStr"/>
      <c r="F19" s="24" t="inlineStr"/>
      <c r="G19" s="24" t="inlineStr"/>
      <c r="H19" s="24" t="inlineStr"/>
      <c r="I19" s="17">
        <f>IF($D$19=0,"",D19/$D$19)</f>
        <v/>
      </c>
    </row>
  </sheetData>
  <conditionalFormatting sqref="H5:H18">
    <cfRule type="expression" priority="1" dxfId="0" stopIfTrue="1">
      <formula>AND(ISNUMBER(H5),H5&gt;=Config!$B$8)</formula>
    </cfRule>
    <cfRule type="expression" priority="2" dxfId="1" stopIfTrue="1">
      <formula>AND(ISNUMBER(H5),H5&gt;=Config!$B$9)</formula>
    </cfRule>
    <cfRule type="expression" priority="3" dxfId="2" stopIfTrue="1">
      <formula>ISNUMBER(H5)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2" customWidth="1" min="5" max="5"/>
    <col width="13" customWidth="1" min="6" max="6"/>
    <col width="16" customWidth="1" min="7" max="7"/>
    <col width="15" customWidth="1" min="8" max="8"/>
    <col width="15" customWidth="1" min="9" max="9"/>
    <col width="16" customWidth="1" min="10" max="10"/>
  </cols>
  <sheetData>
    <row r="1">
      <c r="A1" s="1" t="inlineStr">
        <is>
          <t>Order Intake semanal — Budget vs negocios ganados (m² adjudicados)</t>
        </is>
      </c>
    </row>
    <row r="2">
      <c r="A2" s="2" t="inlineStr">
        <is>
          <t>Budget semanal = Budget del mes (Config) ÷ 4, sobrescribible. Estado: Cerrada / En curso / Proyectada. Real vacío = semana aún sin datos.</t>
        </is>
      </c>
    </row>
    <row r="4" ht="32" customHeight="1">
      <c r="A4" s="12" t="inlineStr">
        <is>
          <t>Semana</t>
        </is>
      </c>
      <c r="B4" s="12" t="inlineStr">
        <is>
          <t>Budget (m²)</t>
        </is>
      </c>
      <c r="C4" s="12" t="inlineStr">
        <is>
          <t>Real ganado (m²)</t>
        </is>
      </c>
      <c r="D4" s="12" t="inlineStr">
        <is>
          <t>Estado</t>
        </is>
      </c>
      <c r="E4" s="12" t="inlineStr">
        <is>
          <t>Gap (m²)</t>
        </is>
      </c>
      <c r="F4" s="12" t="inlineStr">
        <is>
          <t>Cumplimiento</t>
        </is>
      </c>
      <c r="G4" s="12" t="inlineStr">
        <is>
          <t>Por ganar ponderado (Pipeline)</t>
        </is>
      </c>
      <c r="H4" s="12" t="inlineStr">
        <is>
          <t>Budget acumulado</t>
        </is>
      </c>
      <c r="I4" s="12" t="inlineStr">
        <is>
          <t>Ganado acumulado</t>
        </is>
      </c>
      <c r="J4" s="12" t="inlineStr">
        <is>
          <t>Proyectado acumulado</t>
        </is>
      </c>
    </row>
    <row r="5">
      <c r="A5" s="25" t="inlineStr">
        <is>
          <t>W1</t>
        </is>
      </c>
      <c r="B5" s="19">
        <f>ROUND(Config!$B$11/4,0)</f>
        <v/>
      </c>
      <c r="C5" s="11" t="n">
        <v>25901</v>
      </c>
      <c r="D5" s="18" t="inlineStr">
        <is>
          <t>Cerrada</t>
        </is>
      </c>
      <c r="E5" s="13">
        <f>IF(C5="","",C5-B5)</f>
        <v/>
      </c>
      <c r="F5" s="14">
        <f>IF(OR(C5="",N(B5)=0),"",C5/B5)</f>
        <v/>
      </c>
      <c r="G5" s="13">
        <f>SUMIFS(Pipeline!$H$5:$H$29,Pipeline!$F$5:$F$29,A5)</f>
        <v/>
      </c>
      <c r="H5" s="13">
        <f>SUM($B$5:B5)</f>
        <v/>
      </c>
      <c r="I5" s="13">
        <f>IF(C5="",NA(),SUM($C$5:C5))</f>
        <v/>
      </c>
      <c r="J5" s="13">
        <f>IF(C5="",NA(),I5)+SUM($G$5:G5)</f>
        <v/>
      </c>
    </row>
    <row r="6">
      <c r="A6" s="25" t="inlineStr">
        <is>
          <t>W2</t>
        </is>
      </c>
      <c r="B6" s="19">
        <f>ROUND(Config!$B$11/4,0)</f>
        <v/>
      </c>
      <c r="C6" s="11" t="n">
        <v>41491</v>
      </c>
      <c r="D6" s="18" t="inlineStr">
        <is>
          <t>Cerrada</t>
        </is>
      </c>
      <c r="E6" s="13">
        <f>IF(C6="","",C6-B6)</f>
        <v/>
      </c>
      <c r="F6" s="14">
        <f>IF(OR(C6="",N(B6)=0),"",C6/B6)</f>
        <v/>
      </c>
      <c r="G6" s="13">
        <f>SUMIFS(Pipeline!$H$5:$H$29,Pipeline!$F$5:$F$29,A6)</f>
        <v/>
      </c>
      <c r="H6" s="13">
        <f>SUM($B$5:B6)</f>
        <v/>
      </c>
      <c r="I6" s="13">
        <f>IF(C6="",NA(),SUM($C$5:C6))</f>
        <v/>
      </c>
      <c r="J6" s="13">
        <f>IF(C6="",NA(),I6)+SUM($G$5:G6)</f>
        <v/>
      </c>
    </row>
    <row r="7">
      <c r="A7" s="25" t="inlineStr">
        <is>
          <t>W3</t>
        </is>
      </c>
      <c r="B7" s="19">
        <f>ROUND(Config!$B$11/4,0)</f>
        <v/>
      </c>
      <c r="C7" s="11" t="n">
        <v>45187</v>
      </c>
      <c r="D7" s="18" t="inlineStr">
        <is>
          <t>Cerrada</t>
        </is>
      </c>
      <c r="E7" s="13">
        <f>IF(C7="","",C7-B7)</f>
        <v/>
      </c>
      <c r="F7" s="14">
        <f>IF(OR(C7="",N(B7)=0),"",C7/B7)</f>
        <v/>
      </c>
      <c r="G7" s="13">
        <f>SUMIFS(Pipeline!$H$5:$H$29,Pipeline!$F$5:$F$29,A7)</f>
        <v/>
      </c>
      <c r="H7" s="13">
        <f>SUM($B$5:B7)</f>
        <v/>
      </c>
      <c r="I7" s="13">
        <f>IF(C7="",NA(),SUM($C$5:C7))</f>
        <v/>
      </c>
      <c r="J7" s="13">
        <f>IF(C7="",NA(),I7)+SUM($G$5:G7)</f>
        <v/>
      </c>
    </row>
    <row r="8">
      <c r="A8" s="25" t="inlineStr">
        <is>
          <t>W4</t>
        </is>
      </c>
      <c r="B8" s="19">
        <f>Config!$B$11-SUM(B5:B7)</f>
        <v/>
      </c>
      <c r="C8" s="11" t="n">
        <v>27588</v>
      </c>
      <c r="D8" s="18" t="inlineStr">
        <is>
          <t>En curso</t>
        </is>
      </c>
      <c r="E8" s="13">
        <f>IF(C8="","",C8-B8)</f>
        <v/>
      </c>
      <c r="F8" s="14">
        <f>IF(OR(C8="",N(B8)=0),"",C8/B8)</f>
        <v/>
      </c>
      <c r="G8" s="13">
        <f>SUMIFS(Pipeline!$H$5:$H$29,Pipeline!$F$5:$F$29,A8)</f>
        <v/>
      </c>
      <c r="H8" s="13">
        <f>SUM($B$5:B8)</f>
        <v/>
      </c>
      <c r="I8" s="13">
        <f>IF(C8="",NA(),SUM($C$5:C8))</f>
        <v/>
      </c>
      <c r="J8" s="13">
        <f>IF(C8="",NA(),I8)+SUM($G$5:G8)</f>
        <v/>
      </c>
    </row>
    <row r="9">
      <c r="A9" s="22" t="inlineStr">
        <is>
          <t>TOTAL</t>
        </is>
      </c>
      <c r="B9" s="16">
        <f>SUM(B5:B8)</f>
        <v/>
      </c>
      <c r="C9" s="16">
        <f>SUM(C5:C8)</f>
        <v/>
      </c>
      <c r="D9" s="15" t="inlineStr"/>
      <c r="E9" s="16">
        <f>C9-B9</f>
        <v/>
      </c>
      <c r="F9" s="17">
        <f>IF(B9=0,"",C9/B9)</f>
        <v/>
      </c>
      <c r="G9" s="16">
        <f>SUM(G5:G8)</f>
        <v/>
      </c>
    </row>
    <row r="11">
      <c r="A11" s="2" t="inlineStr">
        <is>
          <t>Control: la suma semanal debe igualar el Budget del mes</t>
        </is>
      </c>
      <c r="D11">
        <f>IF(B9=Config!B11,"OK","Revise: la suma semanal difiere del Budget del mes")</f>
        <v/>
      </c>
    </row>
  </sheetData>
  <conditionalFormatting sqref="F5:F9">
    <cfRule type="expression" priority="1" dxfId="0" stopIfTrue="1">
      <formula>AND(ISNUMBER(F5),F5&gt;=Config!$B$8)</formula>
    </cfRule>
    <cfRule type="expression" priority="2" dxfId="1" stopIfTrue="1">
      <formula>AND(ISNUMBER(F5),F5&gt;=Config!$B$9)</formula>
    </cfRule>
    <cfRule type="expression" priority="3" dxfId="2" stopIfTrue="1">
      <formula>ISNUMBER(F5)</formula>
    </cfRule>
  </conditionalFormatting>
  <dataValidations count="1">
    <dataValidation sqref="D5 D6 D7 D8" showDropDown="0" showInputMessage="0" showErrorMessage="0" allowBlank="1" type="list">
      <formula1>"Cerrada,En curso,Proyectada"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5" customWidth="1" min="8" max="8"/>
    <col hidden="1" width="12" customWidth="1" min="9" max="9"/>
  </cols>
  <sheetData>
    <row r="1">
      <c r="A1" s="1" t="inlineStr">
        <is>
          <t>Pipeline — negocios por ganar</t>
        </is>
      </c>
    </row>
    <row r="2">
      <c r="A2" s="2" t="inlineStr">
        <is>
          <t>Filas de EJEMPLO: reemplácelas por las oportunidades reales. Ponderado = m² × probabilidad. Cierre esperado: W1..W4 del mes en curso o 'Mes siguiente'.</t>
        </is>
      </c>
    </row>
    <row r="4" ht="32" customHeight="1">
      <c r="A4" s="12" t="inlineStr">
        <is>
          <t>Oportunidad / Proyecto</t>
        </is>
      </c>
      <c r="B4" s="12" t="inlineStr">
        <is>
          <t>Cliente</t>
        </is>
      </c>
      <c r="C4" s="12" t="inlineStr">
        <is>
          <t>Línea</t>
        </is>
      </c>
      <c r="D4" s="12" t="inlineStr">
        <is>
          <t>m²</t>
        </is>
      </c>
      <c r="E4" s="12" t="inlineStr">
        <is>
          <t>Probabilidad</t>
        </is>
      </c>
      <c r="F4" s="12" t="inlineStr">
        <is>
          <t>Cierre esperado</t>
        </is>
      </c>
      <c r="G4" s="12" t="inlineStr">
        <is>
          <t>Responsable</t>
        </is>
      </c>
      <c r="H4" s="12" t="inlineStr">
        <is>
          <t>m² ponderados</t>
        </is>
      </c>
      <c r="I4" s="12" t="inlineStr">
        <is>
          <t>Orden (aux)</t>
        </is>
      </c>
    </row>
    <row r="5">
      <c r="A5" s="5" t="inlineStr">
        <is>
          <t>Oportunidad A (ejemplo)</t>
        </is>
      </c>
      <c r="B5" s="5" t="inlineStr">
        <is>
          <t>Cliente por definir</t>
        </is>
      </c>
      <c r="C5" s="5" t="inlineStr">
        <is>
          <t>Envolventes</t>
        </is>
      </c>
      <c r="D5" s="11" t="n">
        <v>6500</v>
      </c>
      <c r="E5" s="10" t="n">
        <v>0.7</v>
      </c>
      <c r="F5" s="5" t="inlineStr">
        <is>
          <t>W4</t>
        </is>
      </c>
      <c r="G5" s="5" t="inlineStr">
        <is>
          <t>Comercial</t>
        </is>
      </c>
      <c r="H5" s="13">
        <f>IF(A5="","",N(D5)*N(E5))</f>
        <v/>
      </c>
      <c r="I5" s="26">
        <f>IF(A5="","",H5+(100-ROW())/1000000)</f>
        <v/>
      </c>
    </row>
    <row r="6">
      <c r="A6" s="5" t="inlineStr">
        <is>
          <t>Oportunidad B (ejemplo)</t>
        </is>
      </c>
      <c r="B6" s="5" t="inlineStr">
        <is>
          <t>Cliente por definir</t>
        </is>
      </c>
      <c r="C6" s="5" t="inlineStr">
        <is>
          <t>Refrigeración</t>
        </is>
      </c>
      <c r="D6" s="11" t="n">
        <v>4200</v>
      </c>
      <c r="E6" s="10" t="n">
        <v>0.5</v>
      </c>
      <c r="F6" s="5" t="inlineStr">
        <is>
          <t>W4</t>
        </is>
      </c>
      <c r="G6" s="5" t="inlineStr">
        <is>
          <t>Comercial</t>
        </is>
      </c>
      <c r="H6" s="13">
        <f>IF(A6="","",N(D6)*N(E6))</f>
        <v/>
      </c>
      <c r="I6" s="26">
        <f>IF(A6="","",H6+(100-ROW())/1000000)</f>
        <v/>
      </c>
    </row>
    <row r="7">
      <c r="A7" s="5" t="inlineStr">
        <is>
          <t>Oportunidad C (ejemplo)</t>
        </is>
      </c>
      <c r="B7" s="5" t="inlineStr">
        <is>
          <t>Cliente por definir</t>
        </is>
      </c>
      <c r="C7" s="5" t="inlineStr">
        <is>
          <t>Envolventes</t>
        </is>
      </c>
      <c r="D7" s="11" t="n">
        <v>12000</v>
      </c>
      <c r="E7" s="10" t="n">
        <v>0.6</v>
      </c>
      <c r="F7" s="5" t="inlineStr">
        <is>
          <t>Mes siguiente</t>
        </is>
      </c>
      <c r="G7" s="5" t="inlineStr">
        <is>
          <t>Comercial</t>
        </is>
      </c>
      <c r="H7" s="13">
        <f>IF(A7="","",N(D7)*N(E7))</f>
        <v/>
      </c>
      <c r="I7" s="26">
        <f>IF(A7="","",H7+(100-ROW())/1000000)</f>
        <v/>
      </c>
    </row>
    <row r="8">
      <c r="A8" s="5" t="inlineStr">
        <is>
          <t>Oportunidad D (ejemplo)</t>
        </is>
      </c>
      <c r="B8" s="5" t="inlineStr">
        <is>
          <t>Cliente por definir</t>
        </is>
      </c>
      <c r="C8" s="5" t="inlineStr">
        <is>
          <t>Refrigeración</t>
        </is>
      </c>
      <c r="D8" s="11" t="n">
        <v>8000</v>
      </c>
      <c r="E8" s="10" t="n">
        <v>0.4</v>
      </c>
      <c r="F8" s="5" t="inlineStr">
        <is>
          <t>Mes siguiente</t>
        </is>
      </c>
      <c r="G8" s="5" t="inlineStr">
        <is>
          <t>Comercial</t>
        </is>
      </c>
      <c r="H8" s="13">
        <f>IF(A8="","",N(D8)*N(E8))</f>
        <v/>
      </c>
      <c r="I8" s="26">
        <f>IF(A8="","",H8+(100-ROW())/1000000)</f>
        <v/>
      </c>
    </row>
    <row r="9">
      <c r="A9" s="5" t="n"/>
      <c r="B9" s="5" t="n"/>
      <c r="C9" s="5" t="n"/>
      <c r="D9" s="11" t="n"/>
      <c r="E9" s="10" t="n"/>
      <c r="F9" s="5" t="n"/>
      <c r="G9" s="5" t="n"/>
      <c r="H9" s="13">
        <f>IF(A9="","",N(D9)*N(E9))</f>
        <v/>
      </c>
      <c r="I9" s="26">
        <f>IF(A9="","",H9+(100-ROW())/1000000)</f>
        <v/>
      </c>
    </row>
    <row r="10">
      <c r="A10" s="5" t="n"/>
      <c r="B10" s="5" t="n"/>
      <c r="C10" s="5" t="n"/>
      <c r="D10" s="11" t="n"/>
      <c r="E10" s="10" t="n"/>
      <c r="F10" s="5" t="n"/>
      <c r="G10" s="5" t="n"/>
      <c r="H10" s="13">
        <f>IF(A10="","",N(D10)*N(E10))</f>
        <v/>
      </c>
      <c r="I10" s="26">
        <f>IF(A10="","",H10+(100-ROW())/1000000)</f>
        <v/>
      </c>
    </row>
    <row r="11">
      <c r="A11" s="5" t="n"/>
      <c r="B11" s="5" t="n"/>
      <c r="C11" s="5" t="n"/>
      <c r="D11" s="11" t="n"/>
      <c r="E11" s="10" t="n"/>
      <c r="F11" s="5" t="n"/>
      <c r="G11" s="5" t="n"/>
      <c r="H11" s="13">
        <f>IF(A11="","",N(D11)*N(E11))</f>
        <v/>
      </c>
      <c r="I11" s="26">
        <f>IF(A11="","",H11+(100-ROW())/1000000)</f>
        <v/>
      </c>
    </row>
    <row r="12">
      <c r="A12" s="5" t="n"/>
      <c r="B12" s="5" t="n"/>
      <c r="C12" s="5" t="n"/>
      <c r="D12" s="11" t="n"/>
      <c r="E12" s="10" t="n"/>
      <c r="F12" s="5" t="n"/>
      <c r="G12" s="5" t="n"/>
      <c r="H12" s="13">
        <f>IF(A12="","",N(D12)*N(E12))</f>
        <v/>
      </c>
      <c r="I12" s="26">
        <f>IF(A12="","",H12+(100-ROW())/1000000)</f>
        <v/>
      </c>
    </row>
    <row r="13">
      <c r="A13" s="5" t="n"/>
      <c r="B13" s="5" t="n"/>
      <c r="C13" s="5" t="n"/>
      <c r="D13" s="11" t="n"/>
      <c r="E13" s="10" t="n"/>
      <c r="F13" s="5" t="n"/>
      <c r="G13" s="5" t="n"/>
      <c r="H13" s="13">
        <f>IF(A13="","",N(D13)*N(E13))</f>
        <v/>
      </c>
      <c r="I13" s="26">
        <f>IF(A13="","",H13+(100-ROW())/1000000)</f>
        <v/>
      </c>
    </row>
    <row r="14">
      <c r="A14" s="5" t="n"/>
      <c r="B14" s="5" t="n"/>
      <c r="C14" s="5" t="n"/>
      <c r="D14" s="11" t="n"/>
      <c r="E14" s="10" t="n"/>
      <c r="F14" s="5" t="n"/>
      <c r="G14" s="5" t="n"/>
      <c r="H14" s="13">
        <f>IF(A14="","",N(D14)*N(E14))</f>
        <v/>
      </c>
      <c r="I14" s="26">
        <f>IF(A14="","",H14+(100-ROW())/1000000)</f>
        <v/>
      </c>
    </row>
    <row r="15">
      <c r="A15" s="5" t="n"/>
      <c r="B15" s="5" t="n"/>
      <c r="C15" s="5" t="n"/>
      <c r="D15" s="11" t="n"/>
      <c r="E15" s="10" t="n"/>
      <c r="F15" s="5" t="n"/>
      <c r="G15" s="5" t="n"/>
      <c r="H15" s="13">
        <f>IF(A15="","",N(D15)*N(E15))</f>
        <v/>
      </c>
      <c r="I15" s="26">
        <f>IF(A15="","",H15+(100-ROW())/1000000)</f>
        <v/>
      </c>
    </row>
    <row r="16">
      <c r="A16" s="5" t="n"/>
      <c r="B16" s="5" t="n"/>
      <c r="C16" s="5" t="n"/>
      <c r="D16" s="11" t="n"/>
      <c r="E16" s="10" t="n"/>
      <c r="F16" s="5" t="n"/>
      <c r="G16" s="5" t="n"/>
      <c r="H16" s="13">
        <f>IF(A16="","",N(D16)*N(E16))</f>
        <v/>
      </c>
      <c r="I16" s="26">
        <f>IF(A16="","",H16+(100-ROW())/1000000)</f>
        <v/>
      </c>
    </row>
    <row r="17">
      <c r="A17" s="5" t="n"/>
      <c r="B17" s="5" t="n"/>
      <c r="C17" s="5" t="n"/>
      <c r="D17" s="11" t="n"/>
      <c r="E17" s="10" t="n"/>
      <c r="F17" s="5" t="n"/>
      <c r="G17" s="5" t="n"/>
      <c r="H17" s="13">
        <f>IF(A17="","",N(D17)*N(E17))</f>
        <v/>
      </c>
      <c r="I17" s="26">
        <f>IF(A17="","",H17+(100-ROW())/1000000)</f>
        <v/>
      </c>
    </row>
    <row r="18">
      <c r="A18" s="5" t="n"/>
      <c r="B18" s="5" t="n"/>
      <c r="C18" s="5" t="n"/>
      <c r="D18" s="11" t="n"/>
      <c r="E18" s="10" t="n"/>
      <c r="F18" s="5" t="n"/>
      <c r="G18" s="5" t="n"/>
      <c r="H18" s="13">
        <f>IF(A18="","",N(D18)*N(E18))</f>
        <v/>
      </c>
      <c r="I18" s="26">
        <f>IF(A18="","",H18+(100-ROW())/1000000)</f>
        <v/>
      </c>
    </row>
    <row r="19">
      <c r="A19" s="5" t="n"/>
      <c r="B19" s="5" t="n"/>
      <c r="C19" s="5" t="n"/>
      <c r="D19" s="11" t="n"/>
      <c r="E19" s="10" t="n"/>
      <c r="F19" s="5" t="n"/>
      <c r="G19" s="5" t="n"/>
      <c r="H19" s="13">
        <f>IF(A19="","",N(D19)*N(E19))</f>
        <v/>
      </c>
      <c r="I19" s="26">
        <f>IF(A19="","",H19+(100-ROW())/1000000)</f>
        <v/>
      </c>
    </row>
    <row r="20">
      <c r="A20" s="5" t="n"/>
      <c r="B20" s="5" t="n"/>
      <c r="C20" s="5" t="n"/>
      <c r="D20" s="11" t="n"/>
      <c r="E20" s="10" t="n"/>
      <c r="F20" s="5" t="n"/>
      <c r="G20" s="5" t="n"/>
      <c r="H20" s="13">
        <f>IF(A20="","",N(D20)*N(E20))</f>
        <v/>
      </c>
      <c r="I20" s="26">
        <f>IF(A20="","",H20+(100-ROW())/1000000)</f>
        <v/>
      </c>
    </row>
    <row r="21">
      <c r="A21" s="5" t="n"/>
      <c r="B21" s="5" t="n"/>
      <c r="C21" s="5" t="n"/>
      <c r="D21" s="11" t="n"/>
      <c r="E21" s="10" t="n"/>
      <c r="F21" s="5" t="n"/>
      <c r="G21" s="5" t="n"/>
      <c r="H21" s="13">
        <f>IF(A21="","",N(D21)*N(E21))</f>
        <v/>
      </c>
      <c r="I21" s="26">
        <f>IF(A21="","",H21+(100-ROW())/1000000)</f>
        <v/>
      </c>
    </row>
    <row r="22">
      <c r="A22" s="5" t="n"/>
      <c r="B22" s="5" t="n"/>
      <c r="C22" s="5" t="n"/>
      <c r="D22" s="11" t="n"/>
      <c r="E22" s="10" t="n"/>
      <c r="F22" s="5" t="n"/>
      <c r="G22" s="5" t="n"/>
      <c r="H22" s="13">
        <f>IF(A22="","",N(D22)*N(E22))</f>
        <v/>
      </c>
      <c r="I22" s="26">
        <f>IF(A22="","",H22+(100-ROW())/1000000)</f>
        <v/>
      </c>
    </row>
    <row r="23">
      <c r="A23" s="5" t="n"/>
      <c r="B23" s="5" t="n"/>
      <c r="C23" s="5" t="n"/>
      <c r="D23" s="11" t="n"/>
      <c r="E23" s="10" t="n"/>
      <c r="F23" s="5" t="n"/>
      <c r="G23" s="5" t="n"/>
      <c r="H23" s="13">
        <f>IF(A23="","",N(D23)*N(E23))</f>
        <v/>
      </c>
      <c r="I23" s="26">
        <f>IF(A23="","",H23+(100-ROW())/1000000)</f>
        <v/>
      </c>
    </row>
    <row r="24">
      <c r="A24" s="5" t="n"/>
      <c r="B24" s="5" t="n"/>
      <c r="C24" s="5" t="n"/>
      <c r="D24" s="11" t="n"/>
      <c r="E24" s="10" t="n"/>
      <c r="F24" s="5" t="n"/>
      <c r="G24" s="5" t="n"/>
      <c r="H24" s="13">
        <f>IF(A24="","",N(D24)*N(E24))</f>
        <v/>
      </c>
      <c r="I24" s="26">
        <f>IF(A24="","",H24+(100-ROW())/1000000)</f>
        <v/>
      </c>
    </row>
    <row r="25">
      <c r="A25" s="5" t="n"/>
      <c r="B25" s="5" t="n"/>
      <c r="C25" s="5" t="n"/>
      <c r="D25" s="11" t="n"/>
      <c r="E25" s="10" t="n"/>
      <c r="F25" s="5" t="n"/>
      <c r="G25" s="5" t="n"/>
      <c r="H25" s="13">
        <f>IF(A25="","",N(D25)*N(E25))</f>
        <v/>
      </c>
      <c r="I25" s="26">
        <f>IF(A25="","",H25+(100-ROW())/1000000)</f>
        <v/>
      </c>
    </row>
    <row r="26">
      <c r="A26" s="5" t="n"/>
      <c r="B26" s="5" t="n"/>
      <c r="C26" s="5" t="n"/>
      <c r="D26" s="11" t="n"/>
      <c r="E26" s="10" t="n"/>
      <c r="F26" s="5" t="n"/>
      <c r="G26" s="5" t="n"/>
      <c r="H26" s="13">
        <f>IF(A26="","",N(D26)*N(E26))</f>
        <v/>
      </c>
      <c r="I26" s="26">
        <f>IF(A26="","",H26+(100-ROW())/1000000)</f>
        <v/>
      </c>
    </row>
    <row r="27">
      <c r="A27" s="5" t="n"/>
      <c r="B27" s="5" t="n"/>
      <c r="C27" s="5" t="n"/>
      <c r="D27" s="11" t="n"/>
      <c r="E27" s="10" t="n"/>
      <c r="F27" s="5" t="n"/>
      <c r="G27" s="5" t="n"/>
      <c r="H27" s="13">
        <f>IF(A27="","",N(D27)*N(E27))</f>
        <v/>
      </c>
      <c r="I27" s="26">
        <f>IF(A27="","",H27+(100-ROW())/1000000)</f>
        <v/>
      </c>
    </row>
    <row r="28">
      <c r="A28" s="5" t="n"/>
      <c r="B28" s="5" t="n"/>
      <c r="C28" s="5" t="n"/>
      <c r="D28" s="11" t="n"/>
      <c r="E28" s="10" t="n"/>
      <c r="F28" s="5" t="n"/>
      <c r="G28" s="5" t="n"/>
      <c r="H28" s="13">
        <f>IF(A28="","",N(D28)*N(E28))</f>
        <v/>
      </c>
      <c r="I28" s="26">
        <f>IF(A28="","",H28+(100-ROW())/1000000)</f>
        <v/>
      </c>
    </row>
    <row r="29">
      <c r="A29" s="5" t="n"/>
      <c r="B29" s="5" t="n"/>
      <c r="C29" s="5" t="n"/>
      <c r="D29" s="11" t="n"/>
      <c r="E29" s="10" t="n"/>
      <c r="F29" s="5" t="n"/>
      <c r="G29" s="5" t="n"/>
      <c r="H29" s="13">
        <f>IF(A29="","",N(D29)*N(E29))</f>
        <v/>
      </c>
      <c r="I29" s="26">
        <f>IF(A29="","",H29+(100-ROW())/1000000)</f>
        <v/>
      </c>
    </row>
    <row r="31">
      <c r="A31" s="15" t="inlineStr">
        <is>
          <t>TOTAL</t>
        </is>
      </c>
      <c r="D31" s="16">
        <f>SUM(D5:D29)</f>
        <v/>
      </c>
      <c r="H31" s="16">
        <f>SUM(H5:H29)</f>
        <v/>
      </c>
    </row>
  </sheetData>
  <dataValidations count="1">
    <dataValidation sqref="F5 F6 F7 F8 F9 F10 F11 F12 F13 F14 F15 F16 F17 F18 F19 F20 F21 F22 F23 F24 F25 F26 F27 F28 F29" showDropDown="0" showInputMessage="0" showErrorMessage="0" allowBlank="1" type="list">
      <formula1>"W1,W2,W3,W4,Mes siguiente"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Comentarios para cada diapositiva (opcional)</t>
        </is>
      </c>
    </row>
    <row r="2">
      <c r="A2" s="2" t="inlineStr">
        <is>
          <t>Aparecen primero en el recuadro de alertas de la diapositiva; deje vacío si no aplica.</t>
        </is>
      </c>
    </row>
    <row r="4" ht="32" customHeight="1">
      <c r="A4" s="12" t="inlineStr">
        <is>
          <t>Diapositiva</t>
        </is>
      </c>
      <c r="B4" s="12" t="inlineStr">
        <is>
          <t>Comentario</t>
        </is>
      </c>
    </row>
    <row r="5">
      <c r="A5" s="27" t="inlineStr">
        <is>
          <t>1 · Volumen m²</t>
        </is>
      </c>
      <c r="B5" s="5" t="n"/>
    </row>
    <row r="6">
      <c r="A6" s="27" t="inlineStr">
        <is>
          <t>1 · Volumen m²</t>
        </is>
      </c>
      <c r="B6" s="5" t="n"/>
    </row>
    <row r="7">
      <c r="A7" s="27" t="inlineStr">
        <is>
          <t>2 · Revenue</t>
        </is>
      </c>
      <c r="B7" s="5" t="n"/>
    </row>
    <row r="8">
      <c r="A8" s="27" t="inlineStr">
        <is>
          <t>2 · Revenue</t>
        </is>
      </c>
      <c r="B8" s="5" t="n"/>
    </row>
    <row r="9">
      <c r="A9" s="27" t="inlineStr">
        <is>
          <t>3 · Order Intake</t>
        </is>
      </c>
      <c r="B9" s="5" t="n"/>
    </row>
    <row r="10">
      <c r="A10" s="27" t="inlineStr">
        <is>
          <t>3 · Order Intake</t>
        </is>
      </c>
      <c r="B10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2545"/>
    <outlinePr summaryBelow="1" summaryRight="1"/>
    <pageSetUpPr/>
  </sheetPr>
  <dimension ref="A1:CK46"/>
  <sheetViews>
    <sheetView showGridLines="0" zoomScale="90" workbookViewId="0">
      <selection activeCell="A1" sqref="A1"/>
    </sheetView>
  </sheetViews>
  <sheetFormatPr baseColWidth="8" defaultRowHeight="15"/>
  <cols>
    <col width="40.42857142857143" customWidth="1" min="1" max="1"/>
    <col width="2.714285714285714" customWidth="1" min="2" max="2"/>
    <col width="40.42857142857143" customWidth="1" min="3" max="3"/>
    <col width="2.714285714285714" customWidth="1" min="4" max="4"/>
    <col width="40.42857142857143" customWidth="1" min="5" max="5"/>
    <col width="2.714285714285714" customWidth="1" min="6" max="6"/>
    <col width="40.42857142857143" customWidth="1" min="7" max="7"/>
    <col width="24.28571428571428" customWidth="1" min="9" max="9"/>
    <col width="11.42857142857143" customWidth="1" min="10" max="10"/>
    <col width="11.71428571428571" customWidth="1" min="11" max="11"/>
    <col width="11.71428571428571" customWidth="1" min="12" max="12"/>
    <col width="11.71428571428571" customWidth="1" min="13" max="13"/>
    <col width="12.28571428571429" customWidth="1" min="14" max="14"/>
    <col width="6.285714285714286" customWidth="1" min="15" max="15"/>
    <col width="6.285714285714286" customWidth="1" min="16" max="16"/>
    <col width="6.285714285714286" customWidth="1" min="17" max="17"/>
    <col width="6.285714285714286" customWidth="1" min="18" max="18"/>
    <col width="3.714285714285714" customWidth="1" min="20" max="20"/>
    <col width="104.5714285714286" customWidth="1" min="21" max="21"/>
    <col width="22" customWidth="1" min="80" max="80"/>
    <col width="16" customWidth="1" min="81" max="81"/>
    <col width="16" customWidth="1" min="82" max="82"/>
    <col width="22" customWidth="1" min="86" max="86"/>
    <col width="16" customWidth="1" min="87" max="87"/>
    <col width="16" customWidth="1" min="88" max="88"/>
    <col width="16" customWidth="1" min="89" max="89"/>
  </cols>
  <sheetData>
    <row r="1" ht="40" customHeight="1">
      <c r="A1" s="28">
        <f>"Ventas "&amp;Config!$B$3&amp;" · Volumen (m²)"</f>
        <v/>
      </c>
      <c r="F1" s="29" t="n"/>
      <c r="G1" s="30" t="inlineStr">
        <is>
          <t>Comité de Operaciones</t>
        </is>
      </c>
      <c r="AZ1" t="inlineStr">
        <is>
          <t>Umbral verde</t>
        </is>
      </c>
      <c r="BA1">
        <f>Config!$B$8</f>
        <v/>
      </c>
      <c r="CB1" s="31" t="inlineStr">
        <is>
          <t>Premium semanal (m²)</t>
        </is>
      </c>
      <c r="CH1" s="31" t="inlineStr">
        <is>
          <t>Budget vs F'cast vs Real (m²)</t>
        </is>
      </c>
    </row>
    <row r="2" ht="22" customHeight="1">
      <c r="A2" s="32">
        <f>"F'cast vs Budget vs Real Sales por línea y cumplimiento semanal · Corte W"&amp;Config!$B$5</f>
        <v/>
      </c>
      <c r="F2" s="29" t="n"/>
      <c r="G2" s="33">
        <f>Config!$B$7&amp;" · "&amp;IF(ISNUMBER(Config!$B$6),TEXT(DAY(Config!$B$6),"00")&amp;"/"&amp;TEXT(MONTH(Config!$B$6),"00")&amp;"/"&amp;YEAR(Config!$B$6),Config!$B$6)</f>
        <v/>
      </c>
      <c r="AZ2" t="inlineStr">
        <is>
          <t>Umbral amarillo</t>
        </is>
      </c>
      <c r="BA2">
        <f>Config!$B$9</f>
        <v/>
      </c>
      <c r="CC2" s="34" t="inlineStr">
        <is>
          <t>F'cast semanal</t>
        </is>
      </c>
      <c r="CD2" s="34" t="inlineStr">
        <is>
          <t>Real/Proy semanal</t>
        </is>
      </c>
      <c r="CI2" s="34" t="inlineStr">
        <is>
          <t>Budget</t>
        </is>
      </c>
      <c r="CJ2" s="34" t="inlineStr">
        <is>
          <t>F'cast actual</t>
        </is>
      </c>
      <c r="CK2" s="34" t="inlineStr">
        <is>
          <t>Real Sales</t>
        </is>
      </c>
    </row>
    <row r="3" ht="12" customHeight="1">
      <c r="A3" s="29" t="n"/>
      <c r="B3" s="29" t="n"/>
      <c r="C3" s="29" t="n"/>
      <c r="D3" s="29" t="n"/>
      <c r="E3" s="29" t="n"/>
      <c r="F3" s="29" t="n"/>
      <c r="G3" s="29" t="n"/>
      <c r="CB3" s="35" t="inlineStr">
        <is>
          <t>W1</t>
        </is>
      </c>
      <c r="CC3" s="36">
        <f>Ventas_m2!E7</f>
        <v/>
      </c>
      <c r="CD3" s="36">
        <f>Ventas_m2!I7</f>
        <v/>
      </c>
      <c r="CH3" s="35">
        <f>Ventas_m2!A5</f>
        <v/>
      </c>
      <c r="CI3" s="36">
        <f>Ventas_m2!D5</f>
        <v/>
      </c>
      <c r="CJ3" s="36">
        <f>Ventas_m2!C5</f>
        <v/>
      </c>
      <c r="CK3" s="36">
        <f>Ventas_m2!M5</f>
        <v/>
      </c>
    </row>
    <row r="4" ht="20" customHeight="1">
      <c r="A4" s="37" t="inlineStr">
        <is>
          <t>REAL SALES PREMIUM</t>
        </is>
      </c>
      <c r="B4" s="29" t="n"/>
      <c r="C4" s="37" t="inlineStr">
        <is>
          <t>CIERRE PROYECTADO PREMIUM</t>
        </is>
      </c>
      <c r="D4" s="29" t="n"/>
      <c r="E4" s="37" t="inlineStr">
        <is>
          <t>REAL SALES ESTÁNDAR</t>
        </is>
      </c>
      <c r="F4" s="29" t="n"/>
      <c r="G4" s="37" t="inlineStr">
        <is>
          <t>GAP TOTAL VS BUDGET</t>
        </is>
      </c>
      <c r="CB4" s="35" t="inlineStr">
        <is>
          <t>W2</t>
        </is>
      </c>
      <c r="CC4" s="36">
        <f>Ventas_m2!F7</f>
        <v/>
      </c>
      <c r="CD4" s="36">
        <f>Ventas_m2!J7</f>
        <v/>
      </c>
      <c r="CH4" s="35">
        <f>Ventas_m2!A6</f>
        <v/>
      </c>
      <c r="CI4" s="36">
        <f>Ventas_m2!D6</f>
        <v/>
      </c>
      <c r="CJ4" s="36">
        <f>Ventas_m2!C6</f>
        <v/>
      </c>
      <c r="CK4" s="36">
        <f>Ventas_m2!M6</f>
        <v/>
      </c>
    </row>
    <row r="5" ht="34" customHeight="1">
      <c r="A5" s="38">
        <f>FIXED(Ventas_m2!$M$7,0)&amp;" m²"</f>
        <v/>
      </c>
      <c r="B5" s="29" t="n"/>
      <c r="C5" s="38">
        <f>FIXED(Ventas_m2!$N$7,0)&amp;" m²"</f>
        <v/>
      </c>
      <c r="D5" s="29" t="n"/>
      <c r="E5" s="38">
        <f>FIXED(Ventas_m2!$M$11,0)&amp;" m²"</f>
        <v/>
      </c>
      <c r="F5" s="29" t="n"/>
      <c r="G5" s="38">
        <f>FIXED(Ventas_m2!$Q$13,0)&amp;" m²"</f>
        <v/>
      </c>
      <c r="CB5" s="35" t="inlineStr">
        <is>
          <t>W3</t>
        </is>
      </c>
      <c r="CC5" s="36">
        <f>Ventas_m2!G7</f>
        <v/>
      </c>
      <c r="CD5" s="36">
        <f>Ventas_m2!K7</f>
        <v/>
      </c>
      <c r="CH5" s="35">
        <f>Ventas_m2!A8</f>
        <v/>
      </c>
      <c r="CI5" s="36">
        <f>Ventas_m2!D8</f>
        <v/>
      </c>
      <c r="CJ5" s="36">
        <f>Ventas_m2!C8</f>
        <v/>
      </c>
      <c r="CK5" s="36">
        <f>Ventas_m2!M8</f>
        <v/>
      </c>
    </row>
    <row r="6" ht="22" customHeight="1">
      <c r="A6" s="39">
        <f>"● "&amp;ROUND((Ventas_m2!$P$7)*100,0)&amp;"%"&amp;"  "&amp;"del Budget ("&amp;FIXED(Ventas_m2!$D$7,0)&amp;")"</f>
        <v/>
      </c>
      <c r="B6" s="29" t="n"/>
      <c r="C6" s="39">
        <f>"● "&amp;ROUND((Ventas_m2!$N$7/Ventas_m2!$D$7)*100,0)&amp;"%"&amp;"  "&amp;"del Budget · F'cast "&amp;FIXED(Ventas_m2!$C$7,0)</f>
        <v/>
      </c>
      <c r="D6" s="29" t="n"/>
      <c r="E6" s="39">
        <f>"● "&amp;ROUND((Ventas_m2!$P$11)*100,0)&amp;"%"&amp;"  "&amp;"del Budget ("&amp;FIXED(Ventas_m2!$D$11,0)&amp;")"</f>
        <v/>
      </c>
      <c r="F6" s="29" t="n"/>
      <c r="G6" s="39">
        <f>"● "&amp;ROUND((Ventas_m2!$P$13)*100,0)&amp;"%"&amp;"  "&amp;"Real "&amp;FIXED(Ventas_m2!$M$13,0)&amp;" de "&amp;FIXED(Ventas_m2!$D$13,0)</f>
        <v/>
      </c>
      <c r="BC6">
        <f>IF(NOT(ISNUMBER(Ventas_m2!$P$7)),4,IF(Ventas_m2!$P$7&gt;=$BA$1,3,IF(Ventas_m2!$P$7&gt;=$BA$2,2,1)))</f>
        <v/>
      </c>
      <c r="BD6">
        <f>IF(NOT(ISNUMBER(Ventas_m2!$N$7/Ventas_m2!$D$7)),4,IF(Ventas_m2!$N$7/Ventas_m2!$D$7&gt;=$BA$1,3,IF(Ventas_m2!$N$7/Ventas_m2!$D$7&gt;=$BA$2,2,1)))</f>
        <v/>
      </c>
      <c r="BE6">
        <f>IF(NOT(ISNUMBER(Ventas_m2!$P$11)),4,IF(Ventas_m2!$P$11&gt;=$BA$1,3,IF(Ventas_m2!$P$11&gt;=$BA$2,2,1)))</f>
        <v/>
      </c>
      <c r="BF6">
        <f>IF(NOT(ISNUMBER(Ventas_m2!$P$13)),4,IF(Ventas_m2!$P$13&gt;=$BA$1,3,IF(Ventas_m2!$P$13&gt;=$BA$2,2,1)))</f>
        <v/>
      </c>
      <c r="CB6" s="35" t="inlineStr">
        <is>
          <t>W4</t>
        </is>
      </c>
      <c r="CC6" s="36">
        <f>Ventas_m2!H7</f>
        <v/>
      </c>
      <c r="CD6" s="36">
        <f>Ventas_m2!L7</f>
        <v/>
      </c>
      <c r="CH6" s="35">
        <f>Ventas_m2!A9</f>
        <v/>
      </c>
      <c r="CI6" s="36">
        <f>Ventas_m2!D9</f>
        <v/>
      </c>
      <c r="CJ6" s="36">
        <f>Ventas_m2!C9</f>
        <v/>
      </c>
      <c r="CK6" s="36">
        <f>Ventas_m2!M9</f>
        <v/>
      </c>
    </row>
    <row r="7" ht="8" customHeight="1">
      <c r="A7" s="40" t="n"/>
      <c r="B7" s="29" t="n"/>
      <c r="C7" s="40" t="n"/>
      <c r="D7" s="29" t="n"/>
      <c r="E7" s="40" t="n"/>
      <c r="F7" s="29" t="n"/>
      <c r="G7" s="40" t="n"/>
      <c r="CH7" s="35">
        <f>Ventas_m2!A10</f>
        <v/>
      </c>
      <c r="CI7" s="36">
        <f>Ventas_m2!D10</f>
        <v/>
      </c>
      <c r="CJ7" s="36">
        <f>Ventas_m2!C10</f>
        <v/>
      </c>
      <c r="CK7" s="36">
        <f>Ventas_m2!M10</f>
        <v/>
      </c>
    </row>
    <row r="8">
      <c r="CH8" s="35">
        <f>Ventas_m2!A12</f>
        <v/>
      </c>
      <c r="CI8" s="36">
        <f>Ventas_m2!D12</f>
        <v/>
      </c>
      <c r="CJ8" s="36">
        <f>Ventas_m2!C12</f>
        <v/>
      </c>
      <c r="CK8" s="36">
        <f>Ventas_m2!M12</f>
        <v/>
      </c>
    </row>
    <row r="9" ht="28" customHeight="1">
      <c r="I9" s="41" t="inlineStr">
        <is>
          <t>Línea</t>
        </is>
      </c>
      <c r="J9" s="42" t="inlineStr">
        <is>
          <t>Budget</t>
        </is>
      </c>
      <c r="K9" s="42" t="inlineStr">
        <is>
          <t>F'cast Act.</t>
        </is>
      </c>
      <c r="L9" s="42" t="inlineStr">
        <is>
          <t>Real Sales</t>
        </is>
      </c>
      <c r="M9" s="42" t="inlineStr">
        <is>
          <t>Cierre proy.</t>
        </is>
      </c>
      <c r="N9" s="42" t="inlineStr">
        <is>
          <t>% Real vs Bgt</t>
        </is>
      </c>
      <c r="O9" s="42" t="inlineStr">
        <is>
          <t>W1</t>
        </is>
      </c>
      <c r="P9" s="42" t="inlineStr">
        <is>
          <t>W2</t>
        </is>
      </c>
      <c r="Q9" s="42" t="inlineStr">
        <is>
          <t>W3</t>
        </is>
      </c>
      <c r="R9" s="42" t="inlineStr">
        <is>
          <t>W4</t>
        </is>
      </c>
    </row>
    <row r="10" ht="20.5" customHeight="1">
      <c r="I10" s="43">
        <f>Ventas_m2!A5</f>
        <v/>
      </c>
      <c r="J10" s="44">
        <f>Ventas_m2!D5</f>
        <v/>
      </c>
      <c r="K10" s="44">
        <f>Ventas_m2!C5</f>
        <v/>
      </c>
      <c r="L10" s="44">
        <f>Ventas_m2!M5</f>
        <v/>
      </c>
      <c r="M10" s="44">
        <f>Ventas_m2!N5</f>
        <v/>
      </c>
      <c r="N10" s="45">
        <f>IF(Ventas_m2!P5="","–",Ventas_m2!P5)</f>
        <v/>
      </c>
      <c r="O10" s="45">
        <f>IF(Ventas_m2!R5="","–",Ventas_m2!R5)</f>
        <v/>
      </c>
      <c r="P10" s="45">
        <f>IF(Ventas_m2!S5="","–",Ventas_m2!S5)</f>
        <v/>
      </c>
      <c r="Q10" s="45">
        <f>IF(Ventas_m2!T5="","–",Ventas_m2!T5)</f>
        <v/>
      </c>
      <c r="R10" s="45">
        <f>IF(Ventas_m2!U5="","–",Ventas_m2!U5)</f>
        <v/>
      </c>
    </row>
    <row r="11" ht="20.5" customHeight="1">
      <c r="I11" s="43">
        <f>Ventas_m2!A6</f>
        <v/>
      </c>
      <c r="J11" s="44">
        <f>Ventas_m2!D6</f>
        <v/>
      </c>
      <c r="K11" s="44">
        <f>Ventas_m2!C6</f>
        <v/>
      </c>
      <c r="L11" s="44">
        <f>Ventas_m2!M6</f>
        <v/>
      </c>
      <c r="M11" s="44">
        <f>Ventas_m2!N6</f>
        <v/>
      </c>
      <c r="N11" s="45">
        <f>IF(Ventas_m2!P6="","–",Ventas_m2!P6)</f>
        <v/>
      </c>
      <c r="O11" s="45">
        <f>IF(Ventas_m2!R6="","–",Ventas_m2!R6)</f>
        <v/>
      </c>
      <c r="P11" s="45">
        <f>IF(Ventas_m2!S6="","–",Ventas_m2!S6)</f>
        <v/>
      </c>
      <c r="Q11" s="45">
        <f>IF(Ventas_m2!T6="","–",Ventas_m2!T6)</f>
        <v/>
      </c>
      <c r="R11" s="45">
        <f>IF(Ventas_m2!U6="","–",Ventas_m2!U6)</f>
        <v/>
      </c>
    </row>
    <row r="12" ht="20.5" customHeight="1">
      <c r="I12" s="46">
        <f>Ventas_m2!A7</f>
        <v/>
      </c>
      <c r="J12" s="47">
        <f>Ventas_m2!D7</f>
        <v/>
      </c>
      <c r="K12" s="47">
        <f>Ventas_m2!C7</f>
        <v/>
      </c>
      <c r="L12" s="47">
        <f>Ventas_m2!M7</f>
        <v/>
      </c>
      <c r="M12" s="47">
        <f>Ventas_m2!N7</f>
        <v/>
      </c>
      <c r="N12" s="48">
        <f>IF(Ventas_m2!P7="","–",Ventas_m2!P7)</f>
        <v/>
      </c>
      <c r="O12" s="48">
        <f>IF(Ventas_m2!R7="","–",Ventas_m2!R7)</f>
        <v/>
      </c>
      <c r="P12" s="48">
        <f>IF(Ventas_m2!S7="","–",Ventas_m2!S7)</f>
        <v/>
      </c>
      <c r="Q12" s="48">
        <f>IF(Ventas_m2!T7="","–",Ventas_m2!T7)</f>
        <v/>
      </c>
      <c r="R12" s="48">
        <f>IF(Ventas_m2!U7="","–",Ventas_m2!U7)</f>
        <v/>
      </c>
    </row>
    <row r="13" ht="20.5" customHeight="1">
      <c r="I13" s="43">
        <f>Ventas_m2!A8</f>
        <v/>
      </c>
      <c r="J13" s="44">
        <f>Ventas_m2!D8</f>
        <v/>
      </c>
      <c r="K13" s="44">
        <f>Ventas_m2!C8</f>
        <v/>
      </c>
      <c r="L13" s="44">
        <f>Ventas_m2!M8</f>
        <v/>
      </c>
      <c r="M13" s="44">
        <f>Ventas_m2!N8</f>
        <v/>
      </c>
      <c r="N13" s="45">
        <f>IF(Ventas_m2!P8="","–",Ventas_m2!P8)</f>
        <v/>
      </c>
      <c r="O13" s="45">
        <f>IF(Ventas_m2!R8="","–",Ventas_m2!R8)</f>
        <v/>
      </c>
      <c r="P13" s="45">
        <f>IF(Ventas_m2!S8="","–",Ventas_m2!S8)</f>
        <v/>
      </c>
      <c r="Q13" s="45">
        <f>IF(Ventas_m2!T8="","–",Ventas_m2!T8)</f>
        <v/>
      </c>
      <c r="R13" s="45">
        <f>IF(Ventas_m2!U8="","–",Ventas_m2!U8)</f>
        <v/>
      </c>
    </row>
    <row r="14" ht="20.5" customHeight="1">
      <c r="I14" s="43">
        <f>Ventas_m2!A9</f>
        <v/>
      </c>
      <c r="J14" s="44">
        <f>Ventas_m2!D9</f>
        <v/>
      </c>
      <c r="K14" s="44">
        <f>Ventas_m2!C9</f>
        <v/>
      </c>
      <c r="L14" s="44">
        <f>Ventas_m2!M9</f>
        <v/>
      </c>
      <c r="M14" s="44">
        <f>Ventas_m2!N9</f>
        <v/>
      </c>
      <c r="N14" s="45">
        <f>IF(Ventas_m2!P9="","–",Ventas_m2!P9)</f>
        <v/>
      </c>
      <c r="O14" s="45">
        <f>IF(Ventas_m2!R9="","–",Ventas_m2!R9)</f>
        <v/>
      </c>
      <c r="P14" s="45">
        <f>IF(Ventas_m2!S9="","–",Ventas_m2!S9)</f>
        <v/>
      </c>
      <c r="Q14" s="45">
        <f>IF(Ventas_m2!T9="","–",Ventas_m2!T9)</f>
        <v/>
      </c>
      <c r="R14" s="45">
        <f>IF(Ventas_m2!U9="","–",Ventas_m2!U9)</f>
        <v/>
      </c>
    </row>
    <row r="15" ht="20.5" customHeight="1">
      <c r="I15" s="43">
        <f>Ventas_m2!A10</f>
        <v/>
      </c>
      <c r="J15" s="44">
        <f>Ventas_m2!D10</f>
        <v/>
      </c>
      <c r="K15" s="44">
        <f>Ventas_m2!C10</f>
        <v/>
      </c>
      <c r="L15" s="44">
        <f>Ventas_m2!M10</f>
        <v/>
      </c>
      <c r="M15" s="44">
        <f>Ventas_m2!N10</f>
        <v/>
      </c>
      <c r="N15" s="45">
        <f>IF(Ventas_m2!P10="","–",Ventas_m2!P10)</f>
        <v/>
      </c>
      <c r="O15" s="45">
        <f>IF(Ventas_m2!R10="","–",Ventas_m2!R10)</f>
        <v/>
      </c>
      <c r="P15" s="45">
        <f>IF(Ventas_m2!S10="","–",Ventas_m2!S10)</f>
        <v/>
      </c>
      <c r="Q15" s="45">
        <f>IF(Ventas_m2!T10="","–",Ventas_m2!T10)</f>
        <v/>
      </c>
      <c r="R15" s="45">
        <f>IF(Ventas_m2!U10="","–",Ventas_m2!U10)</f>
        <v/>
      </c>
    </row>
    <row r="16" ht="20.5" customHeight="1">
      <c r="I16" s="46">
        <f>Ventas_m2!A11</f>
        <v/>
      </c>
      <c r="J16" s="47">
        <f>Ventas_m2!D11</f>
        <v/>
      </c>
      <c r="K16" s="47">
        <f>Ventas_m2!C11</f>
        <v/>
      </c>
      <c r="L16" s="47">
        <f>Ventas_m2!M11</f>
        <v/>
      </c>
      <c r="M16" s="47">
        <f>Ventas_m2!N11</f>
        <v/>
      </c>
      <c r="N16" s="48">
        <f>IF(Ventas_m2!P11="","–",Ventas_m2!P11)</f>
        <v/>
      </c>
      <c r="O16" s="48">
        <f>IF(Ventas_m2!R11="","–",Ventas_m2!R11)</f>
        <v/>
      </c>
      <c r="P16" s="48">
        <f>IF(Ventas_m2!S11="","–",Ventas_m2!S11)</f>
        <v/>
      </c>
      <c r="Q16" s="48">
        <f>IF(Ventas_m2!T11="","–",Ventas_m2!T11)</f>
        <v/>
      </c>
      <c r="R16" s="48">
        <f>IF(Ventas_m2!U11="","–",Ventas_m2!U11)</f>
        <v/>
      </c>
    </row>
    <row r="17" ht="20.5" customHeight="1">
      <c r="I17" s="43">
        <f>Ventas_m2!A12</f>
        <v/>
      </c>
      <c r="J17" s="44">
        <f>Ventas_m2!D12</f>
        <v/>
      </c>
      <c r="K17" s="44">
        <f>Ventas_m2!C12</f>
        <v/>
      </c>
      <c r="L17" s="44">
        <f>Ventas_m2!M12</f>
        <v/>
      </c>
      <c r="M17" s="44">
        <f>Ventas_m2!N12</f>
        <v/>
      </c>
      <c r="N17" s="45">
        <f>IF(Ventas_m2!P12="","–",Ventas_m2!P12)</f>
        <v/>
      </c>
      <c r="O17" s="45">
        <f>IF(Ventas_m2!R12="","–",Ventas_m2!R12)</f>
        <v/>
      </c>
      <c r="P17" s="45">
        <f>IF(Ventas_m2!S12="","–",Ventas_m2!S12)</f>
        <v/>
      </c>
      <c r="Q17" s="45">
        <f>IF(Ventas_m2!T12="","–",Ventas_m2!T12)</f>
        <v/>
      </c>
      <c r="R17" s="45">
        <f>IF(Ventas_m2!U12="","–",Ventas_m2!U12)</f>
        <v/>
      </c>
    </row>
    <row r="18" ht="20.5" customHeight="1">
      <c r="I18" s="46">
        <f>Ventas_m2!A13</f>
        <v/>
      </c>
      <c r="J18" s="47">
        <f>Ventas_m2!D13</f>
        <v/>
      </c>
      <c r="K18" s="47">
        <f>Ventas_m2!C13</f>
        <v/>
      </c>
      <c r="L18" s="47">
        <f>Ventas_m2!M13</f>
        <v/>
      </c>
      <c r="M18" s="47">
        <f>Ventas_m2!N13</f>
        <v/>
      </c>
      <c r="N18" s="48">
        <f>IF(Ventas_m2!P13="","–",Ventas_m2!P13)</f>
        <v/>
      </c>
      <c r="O18" s="48">
        <f>IF(Ventas_m2!R13="","–",Ventas_m2!R13)</f>
        <v/>
      </c>
      <c r="P18" s="48">
        <f>IF(Ventas_m2!S13="","–",Ventas_m2!S13)</f>
        <v/>
      </c>
      <c r="Q18" s="48">
        <f>IF(Ventas_m2!T13="","–",Ventas_m2!T13)</f>
        <v/>
      </c>
      <c r="R18" s="48">
        <f>IF(Ventas_m2!U13="","–",Ventas_m2!U13)</f>
        <v/>
      </c>
    </row>
    <row r="19" ht="14" customHeight="1">
      <c r="I19" s="49" t="inlineStr">
        <is>
          <t>W1–W4 = cumplimiento semanal: Real/Proy de la semana ÷ F'cast semanal.</t>
        </is>
      </c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</row>
    <row r="21" ht="16" customHeight="1">
      <c r="T21" s="50" t="inlineStr">
        <is>
          <t>ALERTAS Y TENDENCIAS</t>
        </is>
      </c>
    </row>
    <row r="22" ht="16" customHeight="1">
      <c r="T22" s="51">
        <f>IF(U22="","","●")</f>
        <v/>
      </c>
      <c r="U22" s="52">
        <f>IFERROR(INDEX($BJ$41:$BJ$46,MATCH(1,$BL$41:$BL$46,0)),"")</f>
        <v/>
      </c>
      <c r="BM22">
        <f>IFERROR(INDEX($BK$41:$BK$46,MATCH(1,$BL$41:$BL$46,0)),0)</f>
        <v/>
      </c>
    </row>
    <row r="23" ht="16" customHeight="1">
      <c r="T23" s="51">
        <f>IF(U23="","","●")</f>
        <v/>
      </c>
      <c r="U23" s="52">
        <f>IFERROR(INDEX($BJ$41:$BJ$46,MATCH(2,$BL$41:$BL$46,0)),"")</f>
        <v/>
      </c>
      <c r="BN23">
        <f>IFERROR(INDEX($BK$41:$BK$46,MATCH(2,$BL$41:$BL$46,0)),0)</f>
        <v/>
      </c>
    </row>
    <row r="24" ht="16" customHeight="1">
      <c r="T24" s="51">
        <f>IF(U24="","","●")</f>
        <v/>
      </c>
      <c r="U24" s="52">
        <f>IFERROR(INDEX($BJ$41:$BJ$46,MATCH(3,$BL$41:$BL$46,0)),"")</f>
        <v/>
      </c>
      <c r="BO24">
        <f>IFERROR(INDEX($BK$41:$BK$46,MATCH(3,$BL$41:$BL$46,0)),0)</f>
        <v/>
      </c>
    </row>
    <row r="25" ht="16" customHeight="1">
      <c r="T25" s="51">
        <f>IF(U25="","","●")</f>
        <v/>
      </c>
      <c r="U25" s="52">
        <f>IFERROR(INDEX($BJ$41:$BJ$46,MATCH(4,$BL$41:$BL$46,0)),"")</f>
        <v/>
      </c>
      <c r="BP25">
        <f>IFERROR(INDEX($BK$41:$BK$46,MATCH(4,$BL$41:$BL$46,0)),0)</f>
        <v/>
      </c>
    </row>
    <row r="26" ht="4" customHeight="1">
      <c r="T26" s="40" t="n"/>
      <c r="U26" s="40" t="n"/>
    </row>
    <row r="40">
      <c r="BG40">
        <f>IF(ISNUMBER(Ventas_m2!P5),Ventas_m2!P5+1/1000000,"")</f>
        <v/>
      </c>
      <c r="BH40">
        <f>Ventas_m2!A5</f>
        <v/>
      </c>
      <c r="BI40">
        <f>IF(ISNUMBER(Ventas_m2!P5),Ventas_m2!P5,"")</f>
        <v/>
      </c>
    </row>
    <row r="41">
      <c r="BG41">
        <f>IF(ISNUMBER(Ventas_m2!P6),Ventas_m2!P6+2/1000000,"")</f>
        <v/>
      </c>
      <c r="BH41">
        <f>Ventas_m2!A6</f>
        <v/>
      </c>
      <c r="BI41">
        <f>IF(ISNUMBER(Ventas_m2!P6),Ventas_m2!P6,"")</f>
        <v/>
      </c>
      <c r="BJ41">
        <f>IFERROR(IF(Comentarios!$B$5="","",Comentarios!$B$5),"")</f>
        <v/>
      </c>
      <c r="BK41">
        <f>IFERROR(4,4)</f>
        <v/>
      </c>
      <c r="BL41">
        <f>0+IF(BJ41="",0,1)</f>
        <v/>
      </c>
    </row>
    <row r="42">
      <c r="BG42">
        <f>IF(ISNUMBER(Ventas_m2!P8),Ventas_m2!P8+3/1000000,"")</f>
        <v/>
      </c>
      <c r="BH42">
        <f>Ventas_m2!A8</f>
        <v/>
      </c>
      <c r="BI42">
        <f>IF(ISNUMBER(Ventas_m2!P8),Ventas_m2!P8,"")</f>
        <v/>
      </c>
      <c r="BJ42">
        <f>IFERROR(IF(Comentarios!$B$6="","",Comentarios!$B$6),"")</f>
        <v/>
      </c>
      <c r="BK42">
        <f>IFERROR(4,4)</f>
        <v/>
      </c>
      <c r="BL42">
        <f>BL41+IF(BJ42="",0,1)</f>
        <v/>
      </c>
    </row>
    <row r="43">
      <c r="BG43">
        <f>IF(ISNUMBER(Ventas_m2!P9),Ventas_m2!P9+4/1000000,"")</f>
        <v/>
      </c>
      <c r="BH43">
        <f>Ventas_m2!A9</f>
        <v/>
      </c>
      <c r="BI43">
        <f>IF(ISNUMBER(Ventas_m2!P9),Ventas_m2!P9,"")</f>
        <v/>
      </c>
      <c r="BJ43">
        <f>IFERROR("Premium proyecta cerrar en "&amp;FIXED(Ventas_m2!$N$7,0)&amp;" m² ("&amp;ROUND((Ventas_m2!$N$7/Ventas_m2!$D$7)*100,0)&amp;"%"&amp;" del Budget); brecha de "&amp;FIXED(Ventas_m2!$N$7-Ventas_m2!$D$7,0)&amp;" m².","")</f>
        <v/>
      </c>
      <c r="BK43">
        <f>IFERROR(IF(NOT(ISNUMBER(Ventas_m2!$N$7/Ventas_m2!$D$7)),4,IF(Ventas_m2!$N$7/Ventas_m2!$D$7&gt;=$BA$1,3,IF(Ventas_m2!$N$7/Ventas_m2!$D$7&gt;=$BA$2,2,1))),4)</f>
        <v/>
      </c>
      <c r="BL43">
        <f>BL42+IF(BJ43="",0,1)</f>
        <v/>
      </c>
    </row>
    <row r="44">
      <c r="BG44">
        <f>IF(ISNUMBER(Ventas_m2!P10),Ventas_m2!P10+5/1000000,"")</f>
        <v/>
      </c>
      <c r="BH44">
        <f>Ventas_m2!A10</f>
        <v/>
      </c>
      <c r="BI44">
        <f>IF(ISNUMBER(Ventas_m2!P10),Ventas_m2!P10,"")</f>
        <v/>
      </c>
      <c r="BJ44">
        <f>IFERROR(INDEX($BH$40:$BH$45,MATCH(SMALL($BG$40:$BG$45,1),$BG$40:$BG$45,0))&amp;": Real "&amp;FIXED(INDEX(Ventas_m2!$M$1:$M$20,INDEX({5,6,8,9,10,12},MATCH(SMALL($BG$40:$BG$45,1),$BG$40:$BG$45,0))),0)&amp;" m² = "&amp;ROUND((INDEX($BI$40:$BI$45,MATCH(SMALL($BG$40:$BG$45,1),$BG$40:$BG$45,0)))*100,0)&amp;"%"&amp;" del Budget (gap "&amp;FIXED(INDEX(Ventas_m2!$M$1:$M$20,INDEX({5,6,8,9,10,12},MATCH(SMALL($BG$40:$BG$45,1),$BG$40:$BG$45,0)))-INDEX(Ventas_m2!$D$1:$D$20,INDEX({5,6,8,9,10,12},MATCH(SMALL($BG$40:$BG$45,1),$BG$40:$BG$45,0))),0)&amp;" m²).","")</f>
        <v/>
      </c>
      <c r="BK44">
        <f>IFERROR(IF(NOT(ISNUMBER(INDEX($BI$40:$BI$45,MATCH(SMALL($BG$40:$BG$45,1),$BG$40:$BG$45,0)))),4,IF(INDEX($BI$40:$BI$45,MATCH(SMALL($BG$40:$BG$45,1),$BG$40:$BG$45,0))&gt;=$BA$1,3,IF(INDEX($BI$40:$BI$45,MATCH(SMALL($BG$40:$BG$45,1),$BG$40:$BG$45,0))&gt;=$BA$2,2,1))),4)</f>
        <v/>
      </c>
      <c r="BL44">
        <f>BL43+IF(BJ44="",0,1)</f>
        <v/>
      </c>
    </row>
    <row r="45">
      <c r="BG45">
        <f>IF(ISNUMBER(Ventas_m2!P12),Ventas_m2!P12+6/1000000,"")</f>
        <v/>
      </c>
      <c r="BH45">
        <f>Ventas_m2!A12</f>
        <v/>
      </c>
      <c r="BI45">
        <f>IF(ISNUMBER(Ventas_m2!P12),Ventas_m2!P12,"")</f>
        <v/>
      </c>
      <c r="BJ45">
        <f>IFERROR(INDEX($BH$40:$BH$45,MATCH(SMALL($BG$40:$BG$45,2),$BG$40:$BG$45,0))&amp;": Real "&amp;FIXED(INDEX(Ventas_m2!$M$1:$M$20,INDEX({5,6,8,9,10,12},MATCH(SMALL($BG$40:$BG$45,2),$BG$40:$BG$45,0))),0)&amp;" m² = "&amp;ROUND((INDEX($BI$40:$BI$45,MATCH(SMALL($BG$40:$BG$45,2),$BG$40:$BG$45,0)))*100,0)&amp;"%"&amp;" del Budget (gap "&amp;FIXED(INDEX(Ventas_m2!$M$1:$M$20,INDEX({5,6,8,9,10,12},MATCH(SMALL($BG$40:$BG$45,2),$BG$40:$BG$45,0)))-INDEX(Ventas_m2!$D$1:$D$20,INDEX({5,6,8,9,10,12},MATCH(SMALL($BG$40:$BG$45,2),$BG$40:$BG$45,0))),0)&amp;" m²).","")</f>
        <v/>
      </c>
      <c r="BK45">
        <f>IFERROR(IF(NOT(ISNUMBER(INDEX($BI$40:$BI$45,MATCH(SMALL($BG$40:$BG$45,2),$BG$40:$BG$45,0)))),4,IF(INDEX($BI$40:$BI$45,MATCH(SMALL($BG$40:$BG$45,2),$BG$40:$BG$45,0))&gt;=$BA$1,3,IF(INDEX($BI$40:$BI$45,MATCH(SMALL($BG$40:$BG$45,2),$BG$40:$BG$45,0))&gt;=$BA$2,2,1))),4)</f>
        <v/>
      </c>
      <c r="BL45">
        <f>BL44+IF(BJ45="",0,1)</f>
        <v/>
      </c>
    </row>
    <row r="46">
      <c r="BJ46">
        <f>IFERROR(INDEX($BH$40:$BH$45,MATCH(SMALL($BG$40:$BG$45,3),$BG$40:$BG$45,0))&amp;": Real "&amp;FIXED(INDEX(Ventas_m2!$M$1:$M$20,INDEX({5,6,8,9,10,12},MATCH(SMALL($BG$40:$BG$45,3),$BG$40:$BG$45,0))),0)&amp;" m² = "&amp;ROUND((INDEX($BI$40:$BI$45,MATCH(SMALL($BG$40:$BG$45,3),$BG$40:$BG$45,0)))*100,0)&amp;"%"&amp;" del Budget (gap "&amp;FIXED(INDEX(Ventas_m2!$M$1:$M$20,INDEX({5,6,8,9,10,12},MATCH(SMALL($BG$40:$BG$45,3),$BG$40:$BG$45,0)))-INDEX(Ventas_m2!$D$1:$D$20,INDEX({5,6,8,9,10,12},MATCH(SMALL($BG$40:$BG$45,3),$BG$40:$BG$45,0))),0)&amp;" m²).","")</f>
        <v/>
      </c>
      <c r="BK46">
        <f>IFERROR(IF(NOT(ISNUMBER(INDEX($BI$40:$BI$45,MATCH(SMALL($BG$40:$BG$45,3),$BG$40:$BG$45,0)))),4,IF(INDEX($BI$40:$BI$45,MATCH(SMALL($BG$40:$BG$45,3),$BG$40:$BG$45,0))&gt;=$BA$1,3,IF(INDEX($BI$40:$BI$45,MATCH(SMALL($BG$40:$BG$45,3),$BG$40:$BG$45,0))&gt;=$BA$2,2,1))),4)</f>
        <v/>
      </c>
      <c r="BL46">
        <f>BL45+IF(BJ46="",0,1)</f>
        <v/>
      </c>
    </row>
  </sheetData>
  <mergeCells count="3">
    <mergeCell ref="A2:E2"/>
    <mergeCell ref="A1:E1"/>
    <mergeCell ref="T21:U21"/>
  </mergeCells>
  <conditionalFormatting sqref="A6">
    <cfRule type="expression" priority="1" dxfId="3" stopIfTrue="1">
      <formula>$BC$6=1</formula>
    </cfRule>
    <cfRule type="expression" priority="2" dxfId="4" stopIfTrue="1">
      <formula>$BC$6=2</formula>
    </cfRule>
    <cfRule type="expression" priority="3" dxfId="5" stopIfTrue="1">
      <formula>$BC$6=3</formula>
    </cfRule>
    <cfRule type="expression" priority="4" dxfId="6" stopIfTrue="1">
      <formula>$BC$6=4</formula>
    </cfRule>
  </conditionalFormatting>
  <conditionalFormatting sqref="C6">
    <cfRule type="expression" priority="5" dxfId="3" stopIfTrue="1">
      <formula>$BD$6=1</formula>
    </cfRule>
    <cfRule type="expression" priority="6" dxfId="4" stopIfTrue="1">
      <formula>$BD$6=2</formula>
    </cfRule>
    <cfRule type="expression" priority="7" dxfId="5" stopIfTrue="1">
      <formula>$BD$6=3</formula>
    </cfRule>
    <cfRule type="expression" priority="8" dxfId="6" stopIfTrue="1">
      <formula>$BD$6=4</formula>
    </cfRule>
  </conditionalFormatting>
  <conditionalFormatting sqref="E6">
    <cfRule type="expression" priority="9" dxfId="3" stopIfTrue="1">
      <formula>$BE$6=1</formula>
    </cfRule>
    <cfRule type="expression" priority="10" dxfId="4" stopIfTrue="1">
      <formula>$BE$6=2</formula>
    </cfRule>
    <cfRule type="expression" priority="11" dxfId="5" stopIfTrue="1">
      <formula>$BE$6=3</formula>
    </cfRule>
    <cfRule type="expression" priority="12" dxfId="6" stopIfTrue="1">
      <formula>$BE$6=4</formula>
    </cfRule>
  </conditionalFormatting>
  <conditionalFormatting sqref="G6">
    <cfRule type="expression" priority="13" dxfId="3" stopIfTrue="1">
      <formula>$BF$6=1</formula>
    </cfRule>
    <cfRule type="expression" priority="14" dxfId="4" stopIfTrue="1">
      <formula>$BF$6=2</formula>
    </cfRule>
    <cfRule type="expression" priority="15" dxfId="5" stopIfTrue="1">
      <formula>$BF$6=3</formula>
    </cfRule>
    <cfRule type="expression" priority="16" dxfId="6" stopIfTrue="1">
      <formula>$BF$6=4</formula>
    </cfRule>
  </conditionalFormatting>
  <conditionalFormatting sqref="N10">
    <cfRule type="expression" priority="17" dxfId="0" stopIfTrue="1">
      <formula>AND(ISNUMBER(N10),N10&gt;=$BA$1)</formula>
    </cfRule>
    <cfRule type="expression" priority="18" dxfId="1" stopIfTrue="1">
      <formula>AND(ISNUMBER(N10),N10&gt;=$BA$2)</formula>
    </cfRule>
    <cfRule type="expression" priority="19" dxfId="2" stopIfTrue="1">
      <formula>ISNUMBER(N10)</formula>
    </cfRule>
  </conditionalFormatting>
  <conditionalFormatting sqref="O10">
    <cfRule type="expression" priority="20" dxfId="0" stopIfTrue="1">
      <formula>AND(ISNUMBER(O10),O10&gt;=$BA$1)</formula>
    </cfRule>
    <cfRule type="expression" priority="21" dxfId="1" stopIfTrue="1">
      <formula>AND(ISNUMBER(O10),O10&gt;=$BA$2)</formula>
    </cfRule>
    <cfRule type="expression" priority="22" dxfId="2" stopIfTrue="1">
      <formula>ISNUMBER(O10)</formula>
    </cfRule>
  </conditionalFormatting>
  <conditionalFormatting sqref="P10">
    <cfRule type="expression" priority="23" dxfId="0" stopIfTrue="1">
      <formula>AND(ISNUMBER(P10),P10&gt;=$BA$1)</formula>
    </cfRule>
    <cfRule type="expression" priority="24" dxfId="1" stopIfTrue="1">
      <formula>AND(ISNUMBER(P10),P10&gt;=$BA$2)</formula>
    </cfRule>
    <cfRule type="expression" priority="25" dxfId="2" stopIfTrue="1">
      <formula>ISNUMBER(P10)</formula>
    </cfRule>
  </conditionalFormatting>
  <conditionalFormatting sqref="Q10">
    <cfRule type="expression" priority="26" dxfId="0" stopIfTrue="1">
      <formula>AND(ISNUMBER(Q10),Q10&gt;=$BA$1)</formula>
    </cfRule>
    <cfRule type="expression" priority="27" dxfId="1" stopIfTrue="1">
      <formula>AND(ISNUMBER(Q10),Q10&gt;=$BA$2)</formula>
    </cfRule>
    <cfRule type="expression" priority="28" dxfId="2" stopIfTrue="1">
      <formula>ISNUMBER(Q10)</formula>
    </cfRule>
  </conditionalFormatting>
  <conditionalFormatting sqref="R10">
    <cfRule type="expression" priority="29" dxfId="0" stopIfTrue="1">
      <formula>AND(ISNUMBER(R10),R10&gt;=$BA$1)</formula>
    </cfRule>
    <cfRule type="expression" priority="30" dxfId="1" stopIfTrue="1">
      <formula>AND(ISNUMBER(R10),R10&gt;=$BA$2)</formula>
    </cfRule>
    <cfRule type="expression" priority="31" dxfId="2" stopIfTrue="1">
      <formula>ISNUMBER(R10)</formula>
    </cfRule>
  </conditionalFormatting>
  <conditionalFormatting sqref="N11">
    <cfRule type="expression" priority="32" dxfId="0" stopIfTrue="1">
      <formula>AND(ISNUMBER(N11),N11&gt;=$BA$1)</formula>
    </cfRule>
    <cfRule type="expression" priority="33" dxfId="1" stopIfTrue="1">
      <formula>AND(ISNUMBER(N11),N11&gt;=$BA$2)</formula>
    </cfRule>
    <cfRule type="expression" priority="34" dxfId="2" stopIfTrue="1">
      <formula>ISNUMBER(N11)</formula>
    </cfRule>
  </conditionalFormatting>
  <conditionalFormatting sqref="O11">
    <cfRule type="expression" priority="35" dxfId="0" stopIfTrue="1">
      <formula>AND(ISNUMBER(O11),O11&gt;=$BA$1)</formula>
    </cfRule>
    <cfRule type="expression" priority="36" dxfId="1" stopIfTrue="1">
      <formula>AND(ISNUMBER(O11),O11&gt;=$BA$2)</formula>
    </cfRule>
    <cfRule type="expression" priority="37" dxfId="2" stopIfTrue="1">
      <formula>ISNUMBER(O11)</formula>
    </cfRule>
  </conditionalFormatting>
  <conditionalFormatting sqref="P11">
    <cfRule type="expression" priority="38" dxfId="0" stopIfTrue="1">
      <formula>AND(ISNUMBER(P11),P11&gt;=$BA$1)</formula>
    </cfRule>
    <cfRule type="expression" priority="39" dxfId="1" stopIfTrue="1">
      <formula>AND(ISNUMBER(P11),P11&gt;=$BA$2)</formula>
    </cfRule>
    <cfRule type="expression" priority="40" dxfId="2" stopIfTrue="1">
      <formula>ISNUMBER(P11)</formula>
    </cfRule>
  </conditionalFormatting>
  <conditionalFormatting sqref="Q11">
    <cfRule type="expression" priority="41" dxfId="0" stopIfTrue="1">
      <formula>AND(ISNUMBER(Q11),Q11&gt;=$BA$1)</formula>
    </cfRule>
    <cfRule type="expression" priority="42" dxfId="1" stopIfTrue="1">
      <formula>AND(ISNUMBER(Q11),Q11&gt;=$BA$2)</formula>
    </cfRule>
    <cfRule type="expression" priority="43" dxfId="2" stopIfTrue="1">
      <formula>ISNUMBER(Q11)</formula>
    </cfRule>
  </conditionalFormatting>
  <conditionalFormatting sqref="R11">
    <cfRule type="expression" priority="44" dxfId="0" stopIfTrue="1">
      <formula>AND(ISNUMBER(R11),R11&gt;=$BA$1)</formula>
    </cfRule>
    <cfRule type="expression" priority="45" dxfId="1" stopIfTrue="1">
      <formula>AND(ISNUMBER(R11),R11&gt;=$BA$2)</formula>
    </cfRule>
    <cfRule type="expression" priority="46" dxfId="2" stopIfTrue="1">
      <formula>ISNUMBER(R11)</formula>
    </cfRule>
  </conditionalFormatting>
  <conditionalFormatting sqref="N12">
    <cfRule type="expression" priority="47" dxfId="0" stopIfTrue="1">
      <formula>AND(ISNUMBER(N12),N12&gt;=$BA$1)</formula>
    </cfRule>
    <cfRule type="expression" priority="48" dxfId="1" stopIfTrue="1">
      <formula>AND(ISNUMBER(N12),N12&gt;=$BA$2)</formula>
    </cfRule>
    <cfRule type="expression" priority="49" dxfId="2" stopIfTrue="1">
      <formula>ISNUMBER(N12)</formula>
    </cfRule>
  </conditionalFormatting>
  <conditionalFormatting sqref="O12">
    <cfRule type="expression" priority="50" dxfId="0" stopIfTrue="1">
      <formula>AND(ISNUMBER(O12),O12&gt;=$BA$1)</formula>
    </cfRule>
    <cfRule type="expression" priority="51" dxfId="1" stopIfTrue="1">
      <formula>AND(ISNUMBER(O12),O12&gt;=$BA$2)</formula>
    </cfRule>
    <cfRule type="expression" priority="52" dxfId="2" stopIfTrue="1">
      <formula>ISNUMBER(O12)</formula>
    </cfRule>
  </conditionalFormatting>
  <conditionalFormatting sqref="P12">
    <cfRule type="expression" priority="53" dxfId="0" stopIfTrue="1">
      <formula>AND(ISNUMBER(P12),P12&gt;=$BA$1)</formula>
    </cfRule>
    <cfRule type="expression" priority="54" dxfId="1" stopIfTrue="1">
      <formula>AND(ISNUMBER(P12),P12&gt;=$BA$2)</formula>
    </cfRule>
    <cfRule type="expression" priority="55" dxfId="2" stopIfTrue="1">
      <formula>ISNUMBER(P12)</formula>
    </cfRule>
  </conditionalFormatting>
  <conditionalFormatting sqref="Q12">
    <cfRule type="expression" priority="56" dxfId="0" stopIfTrue="1">
      <formula>AND(ISNUMBER(Q12),Q12&gt;=$BA$1)</formula>
    </cfRule>
    <cfRule type="expression" priority="57" dxfId="1" stopIfTrue="1">
      <formula>AND(ISNUMBER(Q12),Q12&gt;=$BA$2)</formula>
    </cfRule>
    <cfRule type="expression" priority="58" dxfId="2" stopIfTrue="1">
      <formula>ISNUMBER(Q12)</formula>
    </cfRule>
  </conditionalFormatting>
  <conditionalFormatting sqref="R12">
    <cfRule type="expression" priority="59" dxfId="0" stopIfTrue="1">
      <formula>AND(ISNUMBER(R12),R12&gt;=$BA$1)</formula>
    </cfRule>
    <cfRule type="expression" priority="60" dxfId="1" stopIfTrue="1">
      <formula>AND(ISNUMBER(R12),R12&gt;=$BA$2)</formula>
    </cfRule>
    <cfRule type="expression" priority="61" dxfId="2" stopIfTrue="1">
      <formula>ISNUMBER(R12)</formula>
    </cfRule>
  </conditionalFormatting>
  <conditionalFormatting sqref="N13">
    <cfRule type="expression" priority="62" dxfId="0" stopIfTrue="1">
      <formula>AND(ISNUMBER(N13),N13&gt;=$BA$1)</formula>
    </cfRule>
    <cfRule type="expression" priority="63" dxfId="1" stopIfTrue="1">
      <formula>AND(ISNUMBER(N13),N13&gt;=$BA$2)</formula>
    </cfRule>
    <cfRule type="expression" priority="64" dxfId="2" stopIfTrue="1">
      <formula>ISNUMBER(N13)</formula>
    </cfRule>
  </conditionalFormatting>
  <conditionalFormatting sqref="O13">
    <cfRule type="expression" priority="65" dxfId="0" stopIfTrue="1">
      <formula>AND(ISNUMBER(O13),O13&gt;=$BA$1)</formula>
    </cfRule>
    <cfRule type="expression" priority="66" dxfId="1" stopIfTrue="1">
      <formula>AND(ISNUMBER(O13),O13&gt;=$BA$2)</formula>
    </cfRule>
    <cfRule type="expression" priority="67" dxfId="2" stopIfTrue="1">
      <formula>ISNUMBER(O13)</formula>
    </cfRule>
  </conditionalFormatting>
  <conditionalFormatting sqref="P13">
    <cfRule type="expression" priority="68" dxfId="0" stopIfTrue="1">
      <formula>AND(ISNUMBER(P13),P13&gt;=$BA$1)</formula>
    </cfRule>
    <cfRule type="expression" priority="69" dxfId="1" stopIfTrue="1">
      <formula>AND(ISNUMBER(P13),P13&gt;=$BA$2)</formula>
    </cfRule>
    <cfRule type="expression" priority="70" dxfId="2" stopIfTrue="1">
      <formula>ISNUMBER(P13)</formula>
    </cfRule>
  </conditionalFormatting>
  <conditionalFormatting sqref="Q13">
    <cfRule type="expression" priority="71" dxfId="0" stopIfTrue="1">
      <formula>AND(ISNUMBER(Q13),Q13&gt;=$BA$1)</formula>
    </cfRule>
    <cfRule type="expression" priority="72" dxfId="1" stopIfTrue="1">
      <formula>AND(ISNUMBER(Q13),Q13&gt;=$BA$2)</formula>
    </cfRule>
    <cfRule type="expression" priority="73" dxfId="2" stopIfTrue="1">
      <formula>ISNUMBER(Q13)</formula>
    </cfRule>
  </conditionalFormatting>
  <conditionalFormatting sqref="R13">
    <cfRule type="expression" priority="74" dxfId="0" stopIfTrue="1">
      <formula>AND(ISNUMBER(R13),R13&gt;=$BA$1)</formula>
    </cfRule>
    <cfRule type="expression" priority="75" dxfId="1" stopIfTrue="1">
      <formula>AND(ISNUMBER(R13),R13&gt;=$BA$2)</formula>
    </cfRule>
    <cfRule type="expression" priority="76" dxfId="2" stopIfTrue="1">
      <formula>ISNUMBER(R13)</formula>
    </cfRule>
  </conditionalFormatting>
  <conditionalFormatting sqref="N14">
    <cfRule type="expression" priority="77" dxfId="0" stopIfTrue="1">
      <formula>AND(ISNUMBER(N14),N14&gt;=$BA$1)</formula>
    </cfRule>
    <cfRule type="expression" priority="78" dxfId="1" stopIfTrue="1">
      <formula>AND(ISNUMBER(N14),N14&gt;=$BA$2)</formula>
    </cfRule>
    <cfRule type="expression" priority="79" dxfId="2" stopIfTrue="1">
      <formula>ISNUMBER(N14)</formula>
    </cfRule>
  </conditionalFormatting>
  <conditionalFormatting sqref="O14">
    <cfRule type="expression" priority="80" dxfId="0" stopIfTrue="1">
      <formula>AND(ISNUMBER(O14),O14&gt;=$BA$1)</formula>
    </cfRule>
    <cfRule type="expression" priority="81" dxfId="1" stopIfTrue="1">
      <formula>AND(ISNUMBER(O14),O14&gt;=$BA$2)</formula>
    </cfRule>
    <cfRule type="expression" priority="82" dxfId="2" stopIfTrue="1">
      <formula>ISNUMBER(O14)</formula>
    </cfRule>
  </conditionalFormatting>
  <conditionalFormatting sqref="P14">
    <cfRule type="expression" priority="83" dxfId="0" stopIfTrue="1">
      <formula>AND(ISNUMBER(P14),P14&gt;=$BA$1)</formula>
    </cfRule>
    <cfRule type="expression" priority="84" dxfId="1" stopIfTrue="1">
      <formula>AND(ISNUMBER(P14),P14&gt;=$BA$2)</formula>
    </cfRule>
    <cfRule type="expression" priority="85" dxfId="2" stopIfTrue="1">
      <formula>ISNUMBER(P14)</formula>
    </cfRule>
  </conditionalFormatting>
  <conditionalFormatting sqref="Q14">
    <cfRule type="expression" priority="86" dxfId="0" stopIfTrue="1">
      <formula>AND(ISNUMBER(Q14),Q14&gt;=$BA$1)</formula>
    </cfRule>
    <cfRule type="expression" priority="87" dxfId="1" stopIfTrue="1">
      <formula>AND(ISNUMBER(Q14),Q14&gt;=$BA$2)</formula>
    </cfRule>
    <cfRule type="expression" priority="88" dxfId="2" stopIfTrue="1">
      <formula>ISNUMBER(Q14)</formula>
    </cfRule>
  </conditionalFormatting>
  <conditionalFormatting sqref="R14">
    <cfRule type="expression" priority="89" dxfId="0" stopIfTrue="1">
      <formula>AND(ISNUMBER(R14),R14&gt;=$BA$1)</formula>
    </cfRule>
    <cfRule type="expression" priority="90" dxfId="1" stopIfTrue="1">
      <formula>AND(ISNUMBER(R14),R14&gt;=$BA$2)</formula>
    </cfRule>
    <cfRule type="expression" priority="91" dxfId="2" stopIfTrue="1">
      <formula>ISNUMBER(R14)</formula>
    </cfRule>
  </conditionalFormatting>
  <conditionalFormatting sqref="N15">
    <cfRule type="expression" priority="92" dxfId="0" stopIfTrue="1">
      <formula>AND(ISNUMBER(N15),N15&gt;=$BA$1)</formula>
    </cfRule>
    <cfRule type="expression" priority="93" dxfId="1" stopIfTrue="1">
      <formula>AND(ISNUMBER(N15),N15&gt;=$BA$2)</formula>
    </cfRule>
    <cfRule type="expression" priority="94" dxfId="2" stopIfTrue="1">
      <formula>ISNUMBER(N15)</formula>
    </cfRule>
  </conditionalFormatting>
  <conditionalFormatting sqref="O15">
    <cfRule type="expression" priority="95" dxfId="0" stopIfTrue="1">
      <formula>AND(ISNUMBER(O15),O15&gt;=$BA$1)</formula>
    </cfRule>
    <cfRule type="expression" priority="96" dxfId="1" stopIfTrue="1">
      <formula>AND(ISNUMBER(O15),O15&gt;=$BA$2)</formula>
    </cfRule>
    <cfRule type="expression" priority="97" dxfId="2" stopIfTrue="1">
      <formula>ISNUMBER(O15)</formula>
    </cfRule>
  </conditionalFormatting>
  <conditionalFormatting sqref="P15">
    <cfRule type="expression" priority="98" dxfId="0" stopIfTrue="1">
      <formula>AND(ISNUMBER(P15),P15&gt;=$BA$1)</formula>
    </cfRule>
    <cfRule type="expression" priority="99" dxfId="1" stopIfTrue="1">
      <formula>AND(ISNUMBER(P15),P15&gt;=$BA$2)</formula>
    </cfRule>
    <cfRule type="expression" priority="100" dxfId="2" stopIfTrue="1">
      <formula>ISNUMBER(P15)</formula>
    </cfRule>
  </conditionalFormatting>
  <conditionalFormatting sqref="Q15">
    <cfRule type="expression" priority="101" dxfId="0" stopIfTrue="1">
      <formula>AND(ISNUMBER(Q15),Q15&gt;=$BA$1)</formula>
    </cfRule>
    <cfRule type="expression" priority="102" dxfId="1" stopIfTrue="1">
      <formula>AND(ISNUMBER(Q15),Q15&gt;=$BA$2)</formula>
    </cfRule>
    <cfRule type="expression" priority="103" dxfId="2" stopIfTrue="1">
      <formula>ISNUMBER(Q15)</formula>
    </cfRule>
  </conditionalFormatting>
  <conditionalFormatting sqref="R15">
    <cfRule type="expression" priority="104" dxfId="0" stopIfTrue="1">
      <formula>AND(ISNUMBER(R15),R15&gt;=$BA$1)</formula>
    </cfRule>
    <cfRule type="expression" priority="105" dxfId="1" stopIfTrue="1">
      <formula>AND(ISNUMBER(R15),R15&gt;=$BA$2)</formula>
    </cfRule>
    <cfRule type="expression" priority="106" dxfId="2" stopIfTrue="1">
      <formula>ISNUMBER(R15)</formula>
    </cfRule>
  </conditionalFormatting>
  <conditionalFormatting sqref="N16">
    <cfRule type="expression" priority="107" dxfId="0" stopIfTrue="1">
      <formula>AND(ISNUMBER(N16),N16&gt;=$BA$1)</formula>
    </cfRule>
    <cfRule type="expression" priority="108" dxfId="1" stopIfTrue="1">
      <formula>AND(ISNUMBER(N16),N16&gt;=$BA$2)</formula>
    </cfRule>
    <cfRule type="expression" priority="109" dxfId="2" stopIfTrue="1">
      <formula>ISNUMBER(N16)</formula>
    </cfRule>
  </conditionalFormatting>
  <conditionalFormatting sqref="O16">
    <cfRule type="expression" priority="110" dxfId="0" stopIfTrue="1">
      <formula>AND(ISNUMBER(O16),O16&gt;=$BA$1)</formula>
    </cfRule>
    <cfRule type="expression" priority="111" dxfId="1" stopIfTrue="1">
      <formula>AND(ISNUMBER(O16),O16&gt;=$BA$2)</formula>
    </cfRule>
    <cfRule type="expression" priority="112" dxfId="2" stopIfTrue="1">
      <formula>ISNUMBER(O16)</formula>
    </cfRule>
  </conditionalFormatting>
  <conditionalFormatting sqref="P16">
    <cfRule type="expression" priority="113" dxfId="0" stopIfTrue="1">
      <formula>AND(ISNUMBER(P16),P16&gt;=$BA$1)</formula>
    </cfRule>
    <cfRule type="expression" priority="114" dxfId="1" stopIfTrue="1">
      <formula>AND(ISNUMBER(P16),P16&gt;=$BA$2)</formula>
    </cfRule>
    <cfRule type="expression" priority="115" dxfId="2" stopIfTrue="1">
      <formula>ISNUMBER(P16)</formula>
    </cfRule>
  </conditionalFormatting>
  <conditionalFormatting sqref="Q16">
    <cfRule type="expression" priority="116" dxfId="0" stopIfTrue="1">
      <formula>AND(ISNUMBER(Q16),Q16&gt;=$BA$1)</formula>
    </cfRule>
    <cfRule type="expression" priority="117" dxfId="1" stopIfTrue="1">
      <formula>AND(ISNUMBER(Q16),Q16&gt;=$BA$2)</formula>
    </cfRule>
    <cfRule type="expression" priority="118" dxfId="2" stopIfTrue="1">
      <formula>ISNUMBER(Q16)</formula>
    </cfRule>
  </conditionalFormatting>
  <conditionalFormatting sqref="R16">
    <cfRule type="expression" priority="119" dxfId="0" stopIfTrue="1">
      <formula>AND(ISNUMBER(R16),R16&gt;=$BA$1)</formula>
    </cfRule>
    <cfRule type="expression" priority="120" dxfId="1" stopIfTrue="1">
      <formula>AND(ISNUMBER(R16),R16&gt;=$BA$2)</formula>
    </cfRule>
    <cfRule type="expression" priority="121" dxfId="2" stopIfTrue="1">
      <formula>ISNUMBER(R16)</formula>
    </cfRule>
  </conditionalFormatting>
  <conditionalFormatting sqref="N17">
    <cfRule type="expression" priority="122" dxfId="0" stopIfTrue="1">
      <formula>AND(ISNUMBER(N17),N17&gt;=$BA$1)</formula>
    </cfRule>
    <cfRule type="expression" priority="123" dxfId="1" stopIfTrue="1">
      <formula>AND(ISNUMBER(N17),N17&gt;=$BA$2)</formula>
    </cfRule>
    <cfRule type="expression" priority="124" dxfId="2" stopIfTrue="1">
      <formula>ISNUMBER(N17)</formula>
    </cfRule>
  </conditionalFormatting>
  <conditionalFormatting sqref="O17">
    <cfRule type="expression" priority="125" dxfId="0" stopIfTrue="1">
      <formula>AND(ISNUMBER(O17),O17&gt;=$BA$1)</formula>
    </cfRule>
    <cfRule type="expression" priority="126" dxfId="1" stopIfTrue="1">
      <formula>AND(ISNUMBER(O17),O17&gt;=$BA$2)</formula>
    </cfRule>
    <cfRule type="expression" priority="127" dxfId="2" stopIfTrue="1">
      <formula>ISNUMBER(O17)</formula>
    </cfRule>
  </conditionalFormatting>
  <conditionalFormatting sqref="P17">
    <cfRule type="expression" priority="128" dxfId="0" stopIfTrue="1">
      <formula>AND(ISNUMBER(P17),P17&gt;=$BA$1)</formula>
    </cfRule>
    <cfRule type="expression" priority="129" dxfId="1" stopIfTrue="1">
      <formula>AND(ISNUMBER(P17),P17&gt;=$BA$2)</formula>
    </cfRule>
    <cfRule type="expression" priority="130" dxfId="2" stopIfTrue="1">
      <formula>ISNUMBER(P17)</formula>
    </cfRule>
  </conditionalFormatting>
  <conditionalFormatting sqref="Q17">
    <cfRule type="expression" priority="131" dxfId="0" stopIfTrue="1">
      <formula>AND(ISNUMBER(Q17),Q17&gt;=$BA$1)</formula>
    </cfRule>
    <cfRule type="expression" priority="132" dxfId="1" stopIfTrue="1">
      <formula>AND(ISNUMBER(Q17),Q17&gt;=$BA$2)</formula>
    </cfRule>
    <cfRule type="expression" priority="133" dxfId="2" stopIfTrue="1">
      <formula>ISNUMBER(Q17)</formula>
    </cfRule>
  </conditionalFormatting>
  <conditionalFormatting sqref="R17">
    <cfRule type="expression" priority="134" dxfId="0" stopIfTrue="1">
      <formula>AND(ISNUMBER(R17),R17&gt;=$BA$1)</formula>
    </cfRule>
    <cfRule type="expression" priority="135" dxfId="1" stopIfTrue="1">
      <formula>AND(ISNUMBER(R17),R17&gt;=$BA$2)</formula>
    </cfRule>
    <cfRule type="expression" priority="136" dxfId="2" stopIfTrue="1">
      <formula>ISNUMBER(R17)</formula>
    </cfRule>
  </conditionalFormatting>
  <conditionalFormatting sqref="N18">
    <cfRule type="expression" priority="137" dxfId="0" stopIfTrue="1">
      <formula>AND(ISNUMBER(N18),N18&gt;=$BA$1)</formula>
    </cfRule>
    <cfRule type="expression" priority="138" dxfId="1" stopIfTrue="1">
      <formula>AND(ISNUMBER(N18),N18&gt;=$BA$2)</formula>
    </cfRule>
    <cfRule type="expression" priority="139" dxfId="2" stopIfTrue="1">
      <formula>ISNUMBER(N18)</formula>
    </cfRule>
  </conditionalFormatting>
  <conditionalFormatting sqref="O18">
    <cfRule type="expression" priority="140" dxfId="0" stopIfTrue="1">
      <formula>AND(ISNUMBER(O18),O18&gt;=$BA$1)</formula>
    </cfRule>
    <cfRule type="expression" priority="141" dxfId="1" stopIfTrue="1">
      <formula>AND(ISNUMBER(O18),O18&gt;=$BA$2)</formula>
    </cfRule>
    <cfRule type="expression" priority="142" dxfId="2" stopIfTrue="1">
      <formula>ISNUMBER(O18)</formula>
    </cfRule>
  </conditionalFormatting>
  <conditionalFormatting sqref="P18">
    <cfRule type="expression" priority="143" dxfId="0" stopIfTrue="1">
      <formula>AND(ISNUMBER(P18),P18&gt;=$BA$1)</formula>
    </cfRule>
    <cfRule type="expression" priority="144" dxfId="1" stopIfTrue="1">
      <formula>AND(ISNUMBER(P18),P18&gt;=$BA$2)</formula>
    </cfRule>
    <cfRule type="expression" priority="145" dxfId="2" stopIfTrue="1">
      <formula>ISNUMBER(P18)</formula>
    </cfRule>
  </conditionalFormatting>
  <conditionalFormatting sqref="Q18">
    <cfRule type="expression" priority="146" dxfId="0" stopIfTrue="1">
      <formula>AND(ISNUMBER(Q18),Q18&gt;=$BA$1)</formula>
    </cfRule>
    <cfRule type="expression" priority="147" dxfId="1" stopIfTrue="1">
      <formula>AND(ISNUMBER(Q18),Q18&gt;=$BA$2)</formula>
    </cfRule>
    <cfRule type="expression" priority="148" dxfId="2" stopIfTrue="1">
      <formula>ISNUMBER(Q18)</formula>
    </cfRule>
  </conditionalFormatting>
  <conditionalFormatting sqref="R18">
    <cfRule type="expression" priority="149" dxfId="0" stopIfTrue="1">
      <formula>AND(ISNUMBER(R18),R18&gt;=$BA$1)</formula>
    </cfRule>
    <cfRule type="expression" priority="150" dxfId="1" stopIfTrue="1">
      <formula>AND(ISNUMBER(R18),R18&gt;=$BA$2)</formula>
    </cfRule>
    <cfRule type="expression" priority="151" dxfId="2" stopIfTrue="1">
      <formula>ISNUMBER(R18)</formula>
    </cfRule>
  </conditionalFormatting>
  <conditionalFormatting sqref="T22">
    <cfRule type="expression" priority="152" dxfId="3" stopIfTrue="1">
      <formula>$BM$22=1</formula>
    </cfRule>
    <cfRule type="expression" priority="153" dxfId="4" stopIfTrue="1">
      <formula>$BM$22=2</formula>
    </cfRule>
    <cfRule type="expression" priority="154" dxfId="5" stopIfTrue="1">
      <formula>$BM$22=3</formula>
    </cfRule>
    <cfRule type="expression" priority="155" dxfId="6" stopIfTrue="1">
      <formula>$BM$22=4</formula>
    </cfRule>
  </conditionalFormatting>
  <conditionalFormatting sqref="T23">
    <cfRule type="expression" priority="156" dxfId="3" stopIfTrue="1">
      <formula>$BN$23=1</formula>
    </cfRule>
    <cfRule type="expression" priority="157" dxfId="4" stopIfTrue="1">
      <formula>$BN$23=2</formula>
    </cfRule>
    <cfRule type="expression" priority="158" dxfId="5" stopIfTrue="1">
      <formula>$BN$23=3</formula>
    </cfRule>
    <cfRule type="expression" priority="159" dxfId="6" stopIfTrue="1">
      <formula>$BN$23=4</formula>
    </cfRule>
  </conditionalFormatting>
  <conditionalFormatting sqref="T24">
    <cfRule type="expression" priority="160" dxfId="3" stopIfTrue="1">
      <formula>$BO$24=1</formula>
    </cfRule>
    <cfRule type="expression" priority="161" dxfId="4" stopIfTrue="1">
      <formula>$BO$24=2</formula>
    </cfRule>
    <cfRule type="expression" priority="162" dxfId="5" stopIfTrue="1">
      <formula>$BO$24=3</formula>
    </cfRule>
    <cfRule type="expression" priority="163" dxfId="6" stopIfTrue="1">
      <formula>$BO$24=4</formula>
    </cfRule>
  </conditionalFormatting>
  <conditionalFormatting sqref="T25">
    <cfRule type="expression" priority="164" dxfId="3" stopIfTrue="1">
      <formula>$BP$25=1</formula>
    </cfRule>
    <cfRule type="expression" priority="165" dxfId="4" stopIfTrue="1">
      <formula>$BP$25=2</formula>
    </cfRule>
    <cfRule type="expression" priority="166" dxfId="5" stopIfTrue="1">
      <formula>$BP$25=3</formula>
    </cfRule>
    <cfRule type="expression" priority="167" dxfId="6" stopIfTrue="1">
      <formula>$BP$25=4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B2545"/>
    <outlinePr summaryBelow="1" summaryRight="1"/>
    <pageSetUpPr/>
  </sheetPr>
  <dimension ref="A1:CI71"/>
  <sheetViews>
    <sheetView showGridLines="0" zoomScale="90" workbookViewId="0">
      <selection activeCell="A1" sqref="A1"/>
    </sheetView>
  </sheetViews>
  <sheetFormatPr baseColWidth="8" defaultRowHeight="15"/>
  <cols>
    <col width="40.42857142857143" customWidth="1" min="1" max="1"/>
    <col width="2.714285714285714" customWidth="1" min="2" max="2"/>
    <col width="40.42857142857143" customWidth="1" min="3" max="3"/>
    <col width="2.714285714285714" customWidth="1" min="4" max="4"/>
    <col width="40.42857142857143" customWidth="1" min="5" max="5"/>
    <col width="2.714285714285714" customWidth="1" min="6" max="6"/>
    <col width="40.42857142857143" customWidth="1" min="7" max="7"/>
    <col width="25.42857142857143" customWidth="1" min="9" max="9"/>
    <col width="12.57142857142857" customWidth="1" min="10" max="10"/>
    <col width="13.14285714285714" customWidth="1" min="11" max="11"/>
    <col width="20.28571428571428" customWidth="1" min="12" max="12"/>
    <col width="8" customWidth="1" min="13" max="13"/>
    <col width="15.71428571428571" customWidth="1" min="14" max="14"/>
    <col width="13.14285714285714" customWidth="1" min="15" max="15"/>
    <col width="3.714285714285714" customWidth="1" min="17" max="17"/>
    <col width="104.5714285714286" customWidth="1" min="18" max="18"/>
    <col width="22" customWidth="1" min="80" max="80"/>
    <col width="16" customWidth="1" min="81" max="81"/>
    <col width="22" customWidth="1" min="86" max="86"/>
    <col width="16" customWidth="1" min="87" max="87"/>
  </cols>
  <sheetData>
    <row r="1" ht="40" customHeight="1">
      <c r="A1" s="28">
        <f>"Ventas "&amp;Config!$B$3&amp;" · m² y Revenue"</f>
        <v/>
      </c>
      <c r="F1" s="29" t="n"/>
      <c r="G1" s="30" t="inlineStr">
        <is>
          <t>Comité de Operaciones</t>
        </is>
      </c>
      <c r="AZ1" t="inlineStr">
        <is>
          <t>Umbral verde</t>
        </is>
      </c>
      <c r="BA1">
        <f>Config!$B$8</f>
        <v/>
      </c>
      <c r="CB1" s="31" t="inlineStr">
        <is>
          <t>Mix de revenue por grupo (M COP)</t>
        </is>
      </c>
      <c r="CH1" s="31" t="inlineStr">
        <is>
          <t>Revenue por línea (millones COP)</t>
        </is>
      </c>
    </row>
    <row r="2" ht="22" customHeight="1">
      <c r="A2" s="32">
        <f>"F'cast actual del mes en m² y valorizado en COP: precio promedio, mix y performance vs Budget"</f>
        <v/>
      </c>
      <c r="F2" s="29" t="n"/>
      <c r="G2" s="33">
        <f>Config!$B$7&amp;" · "&amp;IF(ISNUMBER(Config!$B$6),TEXT(DAY(Config!$B$6),"00")&amp;"/"&amp;TEXT(MONTH(Config!$B$6),"00")&amp;"/"&amp;YEAR(Config!$B$6),Config!$B$6)</f>
        <v/>
      </c>
      <c r="AZ2" t="inlineStr">
        <is>
          <t>Umbral amarillo</t>
        </is>
      </c>
      <c r="BA2">
        <f>Config!$B$9</f>
        <v/>
      </c>
      <c r="CC2" s="34" t="inlineStr">
        <is>
          <t>Revenue (M COP)</t>
        </is>
      </c>
      <c r="CI2" s="34" t="inlineStr">
        <is>
          <t>Revenue (M COP)</t>
        </is>
      </c>
    </row>
    <row r="3" ht="12" customHeight="1">
      <c r="A3" s="29" t="n"/>
      <c r="B3" s="29" t="n"/>
      <c r="C3" s="29" t="n"/>
      <c r="D3" s="29" t="n"/>
      <c r="E3" s="29" t="n"/>
      <c r="F3" s="29" t="n"/>
      <c r="G3" s="29" t="n"/>
      <c r="CB3" s="35" t="inlineStr">
        <is>
          <t>Premium</t>
        </is>
      </c>
      <c r="CC3" s="36">
        <f>(Revenue!D7)/1000000</f>
        <v/>
      </c>
      <c r="CH3" s="35">
        <f>INDEX($BK$60:$BK$71,MATCH(LARGE($BM$60:$BM$71,1),$BM$60:$BM$71,0))</f>
        <v/>
      </c>
      <c r="CI3" s="36">
        <f>INDEX($BL$60:$BL$71,MATCH(LARGE($BM$60:$BM$71,1),$BM$60:$BM$71,0))</f>
        <v/>
      </c>
    </row>
    <row r="4" ht="20" customHeight="1">
      <c r="A4" s="37" t="inlineStr">
        <is>
          <t>REVENUE F'CAST TOTAL</t>
        </is>
      </c>
      <c r="B4" s="29" t="n"/>
      <c r="C4" s="37" t="inlineStr">
        <is>
          <t>REVENUE PREMIUM</t>
        </is>
      </c>
      <c r="D4" s="29" t="n"/>
      <c r="E4" s="37" t="inlineStr">
        <is>
          <t>VOLUMEN F'CAST (M²)</t>
        </is>
      </c>
      <c r="F4" s="29" t="n"/>
      <c r="G4" s="37" t="inlineStr">
        <is>
          <t>PRECIO PROM. PREMIUM / M²</t>
        </is>
      </c>
      <c r="CB4" s="35" t="inlineStr">
        <is>
          <t>Estándar</t>
        </is>
      </c>
      <c r="CC4" s="36">
        <f>(Revenue!D12)/1000000</f>
        <v/>
      </c>
      <c r="CH4" s="35">
        <f>INDEX($BK$60:$BK$71,MATCH(LARGE($BM$60:$BM$71,2),$BM$60:$BM$71,0))</f>
        <v/>
      </c>
      <c r="CI4" s="36">
        <f>INDEX($BL$60:$BL$71,MATCH(LARGE($BM$60:$BM$71,2),$BM$60:$BM$71,0))</f>
        <v/>
      </c>
    </row>
    <row r="5" ht="34" customHeight="1">
      <c r="A5" s="38">
        <f>"$ "&amp;FIXED((Revenue!$D$19)/1000000,0)&amp;" M"</f>
        <v/>
      </c>
      <c r="B5" s="29" t="n"/>
      <c r="C5" s="38">
        <f>"$ "&amp;FIXED((Revenue!$D$7)/1000000,0)&amp;" M"</f>
        <v/>
      </c>
      <c r="D5" s="29" t="n"/>
      <c r="E5" s="38">
        <f>FIXED(Revenue!$C$7+Revenue!$C$12+N(Revenue!$C$13),0)&amp;" m²"</f>
        <v/>
      </c>
      <c r="F5" s="29" t="n"/>
      <c r="G5" s="38">
        <f>"$ "&amp;FIXED(Revenue!$G$7,0)</f>
        <v/>
      </c>
      <c r="CB5" s="35" t="inlineStr">
        <is>
          <t>Arquitectónica</t>
        </is>
      </c>
      <c r="CC5" s="36">
        <f>(Revenue!D13)/1000000</f>
        <v/>
      </c>
      <c r="CH5" s="35">
        <f>INDEX($BK$60:$BK$71,MATCH(LARGE($BM$60:$BM$71,3),$BM$60:$BM$71,0))</f>
        <v/>
      </c>
      <c r="CI5" s="36">
        <f>INDEX($BL$60:$BL$71,MATCH(LARGE($BM$60:$BM$71,3),$BM$60:$BM$71,0))</f>
        <v/>
      </c>
    </row>
    <row r="6" ht="22" customHeight="1">
      <c r="A6" s="53">
        <f>"incluye ICO "&amp;"$ "&amp;FIXED((Revenue!$D$18)/1000000,0)&amp;" M"</f>
        <v/>
      </c>
      <c r="B6" s="29" t="n"/>
      <c r="C6" s="53">
        <f>ROUND((Revenue!$D$7/(Revenue!$D$19-Revenue!$D$18))*100,0)&amp;"%"&amp;" del revenue de producto"</f>
        <v/>
      </c>
      <c r="D6" s="29" t="n"/>
      <c r="E6" s="39">
        <f>"● "&amp;ROUND(((SUMIF(Revenue!$E$5:$E$6,"&gt;0",Revenue!$C$5:$C$6)+SUMIF(Revenue!$E$8:$E$11,"&gt;0",Revenue!$C$8:$C$11)+IF(N(Revenue!$E$13)&gt;0,Revenue!$C$13,0))/(Revenue!$E$7+Revenue!$E$12+N(Revenue!$E$13)))*100,0)&amp;"%"&amp;"  "&amp;"del Budget ("&amp;FIXED((Revenue!$E$7+Revenue!$E$12+N(Revenue!$E$13)),0)&amp;" m²)"</f>
        <v/>
      </c>
      <c r="F6" s="29" t="n"/>
      <c r="G6" s="53">
        <f>"Estándar: $ "&amp;FIXED(Revenue!$G$12,0)&amp;" / m²"</f>
        <v/>
      </c>
      <c r="BC6">
        <f>IF(NOT(ISNUMBER((SUMIF(Revenue!$E$5:$E$6,"&gt;0",Revenue!$C$5:$C$6)+SUMIF(Revenue!$E$8:$E$11,"&gt;0",Revenue!$C$8:$C$11)+IF(N(Revenue!$E$13)&gt;0,Revenue!$C$13,0))/(Revenue!$E$7+Revenue!$E$12+N(Revenue!$E$13)))),4,IF((SUMIF(Revenue!$E$5:$E$6,"&gt;0",Revenue!$C$5:$C$6)+SUMIF(Revenue!$E$8:$E$11,"&gt;0",Revenue!$C$8:$C$11)+IF(N(Revenue!$E$13)&gt;0,Revenue!$C$13,0))/(Revenue!$E$7+Revenue!$E$12+N(Revenue!$E$13))&gt;=$BA$1,3,IF((SUMIF(Revenue!$E$5:$E$6,"&gt;0",Revenue!$C$5:$C$6)+SUMIF(Revenue!$E$8:$E$11,"&gt;0",Revenue!$C$8:$C$11)+IF(N(Revenue!$E$13)&gt;0,Revenue!$C$13,0))/(Revenue!$E$7+Revenue!$E$12+N(Revenue!$E$13))&gt;=$BA$2,2,1)))</f>
        <v/>
      </c>
      <c r="CB6" s="35" t="inlineStr">
        <is>
          <t>Proyectos</t>
        </is>
      </c>
      <c r="CC6" s="36">
        <f>(Revenue!D14)/1000000</f>
        <v/>
      </c>
      <c r="CH6" s="35">
        <f>INDEX($BK$60:$BK$71,MATCH(LARGE($BM$60:$BM$71,4),$BM$60:$BM$71,0))</f>
        <v/>
      </c>
      <c r="CI6" s="36">
        <f>INDEX($BL$60:$BL$71,MATCH(LARGE($BM$60:$BM$71,4),$BM$60:$BM$71,0))</f>
        <v/>
      </c>
    </row>
    <row r="7" ht="8" customHeight="1">
      <c r="A7" s="40" t="n"/>
      <c r="B7" s="29" t="n"/>
      <c r="C7" s="40" t="n"/>
      <c r="D7" s="29" t="n"/>
      <c r="E7" s="40" t="n"/>
      <c r="F7" s="29" t="n"/>
      <c r="G7" s="40" t="n"/>
      <c r="CB7" s="35" t="inlineStr">
        <is>
          <t>Accesorios</t>
        </is>
      </c>
      <c r="CC7" s="36">
        <f>(Revenue!D15+Revenue!D16)/1000000</f>
        <v/>
      </c>
      <c r="CH7" s="35">
        <f>INDEX($BK$60:$BK$71,MATCH(LARGE($BM$60:$BM$71,5),$BM$60:$BM$71,0))</f>
        <v/>
      </c>
      <c r="CI7" s="36">
        <f>INDEX($BL$60:$BL$71,MATCH(LARGE($BM$60:$BM$71,5),$BM$60:$BM$71,0))</f>
        <v/>
      </c>
    </row>
    <row r="8">
      <c r="CB8" s="35" t="inlineStr">
        <is>
          <t>Puertas</t>
        </is>
      </c>
      <c r="CC8" s="36">
        <f>(Revenue!D17)/1000000</f>
        <v/>
      </c>
      <c r="CH8" s="35">
        <f>INDEX($BK$60:$BK$71,MATCH(LARGE($BM$60:$BM$71,6),$BM$60:$BM$71,0))</f>
        <v/>
      </c>
      <c r="CI8" s="36">
        <f>INDEX($BL$60:$BL$71,MATCH(LARGE($BM$60:$BM$71,6),$BM$60:$BM$71,0))</f>
        <v/>
      </c>
    </row>
    <row r="9" ht="22" customHeight="1">
      <c r="I9" s="54" t="inlineStr">
        <is>
          <t>Línea</t>
        </is>
      </c>
      <c r="J9" s="55" t="inlineStr">
        <is>
          <t>Cantidad</t>
        </is>
      </c>
      <c r="K9" s="55" t="inlineStr">
        <is>
          <t>Precio prom.</t>
        </is>
      </c>
      <c r="L9" s="55" t="inlineStr">
        <is>
          <t>Revenue (COP)</t>
        </is>
      </c>
      <c r="M9" s="55" t="inlineStr">
        <is>
          <t>Mix</t>
        </is>
      </c>
      <c r="N9" s="55" t="inlineStr">
        <is>
          <t>Budget</t>
        </is>
      </c>
      <c r="O9" s="55" t="inlineStr">
        <is>
          <t>% Perf.</t>
        </is>
      </c>
      <c r="CB9" s="35" t="inlineStr">
        <is>
          <t>ICO</t>
        </is>
      </c>
      <c r="CC9" s="36">
        <f>(Revenue!D18)/1000000</f>
        <v/>
      </c>
      <c r="CH9" s="35">
        <f>INDEX($BK$60:$BK$71,MATCH(LARGE($BM$60:$BM$71,7),$BM$60:$BM$71,0))</f>
        <v/>
      </c>
      <c r="CI9" s="36">
        <f>INDEX($BL$60:$BL$71,MATCH(LARGE($BM$60:$BM$71,7),$BM$60:$BM$71,0))</f>
        <v/>
      </c>
    </row>
    <row r="10" ht="17" customHeight="1">
      <c r="I10" s="56">
        <f>Revenue!A5</f>
        <v/>
      </c>
      <c r="J10" s="57">
        <f>IF(N(Revenue!C5)=0,"–",FIXED(Revenue!C5,0)&amp;IF(OR(Revenue!B5="m²",Revenue!B5="",Revenue!B5="—"),""," "&amp;Revenue!B5))</f>
        <v/>
      </c>
      <c r="K10" s="57">
        <f>IF(Revenue!G5="","–","$ "&amp;FIXED(Revenue!G5,0))</f>
        <v/>
      </c>
      <c r="L10" s="58">
        <f>Revenue!D5</f>
        <v/>
      </c>
      <c r="M10" s="59">
        <f>Revenue!I5</f>
        <v/>
      </c>
      <c r="N10" s="57">
        <f>IF(N(Revenue!E5)&gt;0,FIXED(Revenue!E5,0),IF(N(Revenue!F5)&gt;0,"$ "&amp;FIXED((Revenue!F5)/1000000,0)&amp;" M","–"))</f>
        <v/>
      </c>
      <c r="O10" s="60">
        <f>IF(Revenue!H5="","–",Revenue!H5)</f>
        <v/>
      </c>
      <c r="CH10" s="35">
        <f>INDEX($BK$60:$BK$71,MATCH(LARGE($BM$60:$BM$71,8),$BM$60:$BM$71,0))</f>
        <v/>
      </c>
      <c r="CI10" s="36">
        <f>INDEX($BL$60:$BL$71,MATCH(LARGE($BM$60:$BM$71,8),$BM$60:$BM$71,0))</f>
        <v/>
      </c>
    </row>
    <row r="11" ht="17" customHeight="1">
      <c r="I11" s="56">
        <f>Revenue!A6</f>
        <v/>
      </c>
      <c r="J11" s="57">
        <f>IF(N(Revenue!C6)=0,"–",FIXED(Revenue!C6,0)&amp;IF(OR(Revenue!B6="m²",Revenue!B6="",Revenue!B6="—"),""," "&amp;Revenue!B6))</f>
        <v/>
      </c>
      <c r="K11" s="57">
        <f>IF(Revenue!G6="","–","$ "&amp;FIXED(Revenue!G6,0))</f>
        <v/>
      </c>
      <c r="L11" s="58">
        <f>Revenue!D6</f>
        <v/>
      </c>
      <c r="M11" s="59">
        <f>Revenue!I6</f>
        <v/>
      </c>
      <c r="N11" s="57">
        <f>IF(N(Revenue!E6)&gt;0,FIXED(Revenue!E6,0),IF(N(Revenue!F6)&gt;0,"$ "&amp;FIXED((Revenue!F6)/1000000,0)&amp;" M","–"))</f>
        <v/>
      </c>
      <c r="O11" s="60">
        <f>IF(Revenue!H6="","–",Revenue!H6)</f>
        <v/>
      </c>
      <c r="CH11" s="35">
        <f>INDEX($BK$60:$BK$71,MATCH(LARGE($BM$60:$BM$71,9),$BM$60:$BM$71,0))</f>
        <v/>
      </c>
      <c r="CI11" s="36">
        <f>INDEX($BL$60:$BL$71,MATCH(LARGE($BM$60:$BM$71,9),$BM$60:$BM$71,0))</f>
        <v/>
      </c>
    </row>
    <row r="12" ht="17" customHeight="1">
      <c r="I12" s="61">
        <f>Revenue!A7</f>
        <v/>
      </c>
      <c r="J12" s="62">
        <f>IF(N(Revenue!C7)=0,"–",FIXED(Revenue!C7,0)&amp;IF(OR(Revenue!B7="m²",Revenue!B7="",Revenue!B7="—"),""," "&amp;Revenue!B7))</f>
        <v/>
      </c>
      <c r="K12" s="62">
        <f>IF(Revenue!G7="","–","$ "&amp;FIXED(Revenue!G7,0))</f>
        <v/>
      </c>
      <c r="L12" s="63">
        <f>Revenue!D7</f>
        <v/>
      </c>
      <c r="M12" s="64">
        <f>Revenue!I7</f>
        <v/>
      </c>
      <c r="N12" s="62">
        <f>IF(N(Revenue!E7)&gt;0,FIXED(Revenue!E7,0),IF(N(Revenue!F7)&gt;0,"$ "&amp;FIXED((Revenue!F7)/1000000,0)&amp;" M","–"))</f>
        <v/>
      </c>
      <c r="O12" s="65">
        <f>IF(Revenue!H7="","–",Revenue!H7)</f>
        <v/>
      </c>
      <c r="CH12" s="35">
        <f>INDEX($BK$60:$BK$71,MATCH(LARGE($BM$60:$BM$71,10),$BM$60:$BM$71,0))</f>
        <v/>
      </c>
      <c r="CI12" s="36">
        <f>INDEX($BL$60:$BL$71,MATCH(LARGE($BM$60:$BM$71,10),$BM$60:$BM$71,0))</f>
        <v/>
      </c>
    </row>
    <row r="13" ht="17" customHeight="1">
      <c r="I13" s="56">
        <f>Revenue!A8</f>
        <v/>
      </c>
      <c r="J13" s="57">
        <f>IF(N(Revenue!C8)=0,"–",FIXED(Revenue!C8,0)&amp;IF(OR(Revenue!B8="m²",Revenue!B8="",Revenue!B8="—"),""," "&amp;Revenue!B8))</f>
        <v/>
      </c>
      <c r="K13" s="57">
        <f>IF(Revenue!G8="","–","$ "&amp;FIXED(Revenue!G8,0))</f>
        <v/>
      </c>
      <c r="L13" s="58">
        <f>Revenue!D8</f>
        <v/>
      </c>
      <c r="M13" s="59">
        <f>Revenue!I8</f>
        <v/>
      </c>
      <c r="N13" s="57">
        <f>IF(N(Revenue!E8)&gt;0,FIXED(Revenue!E8,0),IF(N(Revenue!F8)&gt;0,"$ "&amp;FIXED((Revenue!F8)/1000000,0)&amp;" M","–"))</f>
        <v/>
      </c>
      <c r="O13" s="60">
        <f>IF(Revenue!H8="","–",Revenue!H8)</f>
        <v/>
      </c>
      <c r="CH13" s="35">
        <f>INDEX($BK$60:$BK$71,MATCH(LARGE($BM$60:$BM$71,11),$BM$60:$BM$71,0))</f>
        <v/>
      </c>
      <c r="CI13" s="36">
        <f>INDEX($BL$60:$BL$71,MATCH(LARGE($BM$60:$BM$71,11),$BM$60:$BM$71,0))</f>
        <v/>
      </c>
    </row>
    <row r="14" ht="17" customHeight="1">
      <c r="I14" s="56">
        <f>Revenue!A9</f>
        <v/>
      </c>
      <c r="J14" s="57">
        <f>IF(N(Revenue!C9)=0,"–",FIXED(Revenue!C9,0)&amp;IF(OR(Revenue!B9="m²",Revenue!B9="",Revenue!B9="—"),""," "&amp;Revenue!B9))</f>
        <v/>
      </c>
      <c r="K14" s="57">
        <f>IF(Revenue!G9="","–","$ "&amp;FIXED(Revenue!G9,0))</f>
        <v/>
      </c>
      <c r="L14" s="58">
        <f>Revenue!D9</f>
        <v/>
      </c>
      <c r="M14" s="59">
        <f>Revenue!I9</f>
        <v/>
      </c>
      <c r="N14" s="57">
        <f>IF(N(Revenue!E9)&gt;0,FIXED(Revenue!E9,0),IF(N(Revenue!F9)&gt;0,"$ "&amp;FIXED((Revenue!F9)/1000000,0)&amp;" M","–"))</f>
        <v/>
      </c>
      <c r="O14" s="60">
        <f>IF(Revenue!H9="","–",Revenue!H9)</f>
        <v/>
      </c>
      <c r="CH14" s="35">
        <f>INDEX($BK$60:$BK$71,MATCH(LARGE($BM$60:$BM$71,12),$BM$60:$BM$71,0))</f>
        <v/>
      </c>
      <c r="CI14" s="36">
        <f>INDEX($BL$60:$BL$71,MATCH(LARGE($BM$60:$BM$71,12),$BM$60:$BM$71,0))</f>
        <v/>
      </c>
    </row>
    <row r="15" ht="17" customHeight="1">
      <c r="I15" s="56">
        <f>Revenue!A10</f>
        <v/>
      </c>
      <c r="J15" s="57">
        <f>IF(N(Revenue!C10)=0,"–",FIXED(Revenue!C10,0)&amp;IF(OR(Revenue!B10="m²",Revenue!B10="",Revenue!B10="—"),""," "&amp;Revenue!B10))</f>
        <v/>
      </c>
      <c r="K15" s="57">
        <f>IF(Revenue!G10="","–","$ "&amp;FIXED(Revenue!G10,0))</f>
        <v/>
      </c>
      <c r="L15" s="58">
        <f>Revenue!D10</f>
        <v/>
      </c>
      <c r="M15" s="59">
        <f>Revenue!I10</f>
        <v/>
      </c>
      <c r="N15" s="57">
        <f>IF(N(Revenue!E10)&gt;0,FIXED(Revenue!E10,0),IF(N(Revenue!F10)&gt;0,"$ "&amp;FIXED((Revenue!F10)/1000000,0)&amp;" M","–"))</f>
        <v/>
      </c>
      <c r="O15" s="60">
        <f>IF(Revenue!H10="","–",Revenue!H10)</f>
        <v/>
      </c>
    </row>
    <row r="16" ht="17" customHeight="1">
      <c r="I16" s="56">
        <f>Revenue!A11</f>
        <v/>
      </c>
      <c r="J16" s="57">
        <f>IF(N(Revenue!C11)=0,"–",FIXED(Revenue!C11,0)&amp;IF(OR(Revenue!B11="m²",Revenue!B11="",Revenue!B11="—"),""," "&amp;Revenue!B11))</f>
        <v/>
      </c>
      <c r="K16" s="57">
        <f>IF(Revenue!G11="","–","$ "&amp;FIXED(Revenue!G11,0))</f>
        <v/>
      </c>
      <c r="L16" s="58">
        <f>Revenue!D11</f>
        <v/>
      </c>
      <c r="M16" s="59">
        <f>Revenue!I11</f>
        <v/>
      </c>
      <c r="N16" s="57">
        <f>IF(N(Revenue!E11)&gt;0,FIXED(Revenue!E11,0),IF(N(Revenue!F11)&gt;0,"$ "&amp;FIXED((Revenue!F11)/1000000,0)&amp;" M","–"))</f>
        <v/>
      </c>
      <c r="O16" s="60">
        <f>IF(Revenue!H11="","–",Revenue!H11)</f>
        <v/>
      </c>
    </row>
    <row r="17" ht="17" customHeight="1">
      <c r="I17" s="61">
        <f>Revenue!A12</f>
        <v/>
      </c>
      <c r="J17" s="62">
        <f>IF(N(Revenue!C12)=0,"–",FIXED(Revenue!C12,0)&amp;IF(OR(Revenue!B12="m²",Revenue!B12="",Revenue!B12="—"),""," "&amp;Revenue!B12))</f>
        <v/>
      </c>
      <c r="K17" s="62">
        <f>IF(Revenue!G12="","–","$ "&amp;FIXED(Revenue!G12,0))</f>
        <v/>
      </c>
      <c r="L17" s="63">
        <f>Revenue!D12</f>
        <v/>
      </c>
      <c r="M17" s="64">
        <f>Revenue!I12</f>
        <v/>
      </c>
      <c r="N17" s="62">
        <f>IF(N(Revenue!E12)&gt;0,FIXED(Revenue!E12,0),IF(N(Revenue!F12)&gt;0,"$ "&amp;FIXED((Revenue!F12)/1000000,0)&amp;" M","–"))</f>
        <v/>
      </c>
      <c r="O17" s="65">
        <f>IF(Revenue!H12="","–",Revenue!H12)</f>
        <v/>
      </c>
    </row>
    <row r="18" ht="17" customHeight="1">
      <c r="I18" s="56">
        <f>Revenue!A13</f>
        <v/>
      </c>
      <c r="J18" s="57">
        <f>IF(N(Revenue!C13)=0,"–",FIXED(Revenue!C13,0)&amp;IF(OR(Revenue!B13="m²",Revenue!B13="",Revenue!B13="—"),""," "&amp;Revenue!B13))</f>
        <v/>
      </c>
      <c r="K18" s="57">
        <f>IF(Revenue!G13="","–","$ "&amp;FIXED(Revenue!G13,0))</f>
        <v/>
      </c>
      <c r="L18" s="58">
        <f>Revenue!D13</f>
        <v/>
      </c>
      <c r="M18" s="59">
        <f>Revenue!I13</f>
        <v/>
      </c>
      <c r="N18" s="57">
        <f>IF(N(Revenue!E13)&gt;0,FIXED(Revenue!E13,0),IF(N(Revenue!F13)&gt;0,"$ "&amp;FIXED((Revenue!F13)/1000000,0)&amp;" M","–"))</f>
        <v/>
      </c>
      <c r="O18" s="60">
        <f>IF(Revenue!H13="","–",Revenue!H13)</f>
        <v/>
      </c>
    </row>
    <row r="19" ht="17" customHeight="1">
      <c r="I19" s="56">
        <f>Revenue!A14</f>
        <v/>
      </c>
      <c r="J19" s="57">
        <f>IF(N(Revenue!C14)=0,"–",FIXED(Revenue!C14,0)&amp;IF(OR(Revenue!B14="m²",Revenue!B14="",Revenue!B14="—"),""," "&amp;Revenue!B14))</f>
        <v/>
      </c>
      <c r="K19" s="57">
        <f>IF(Revenue!G14="","–","$ "&amp;FIXED(Revenue!G14,0))</f>
        <v/>
      </c>
      <c r="L19" s="58">
        <f>Revenue!D14</f>
        <v/>
      </c>
      <c r="M19" s="59">
        <f>Revenue!I14</f>
        <v/>
      </c>
      <c r="N19" s="57">
        <f>IF(N(Revenue!E14)&gt;0,FIXED(Revenue!E14,0),IF(N(Revenue!F14)&gt;0,"$ "&amp;FIXED((Revenue!F14)/1000000,0)&amp;" M","–"))</f>
        <v/>
      </c>
      <c r="O19" s="60">
        <f>IF(Revenue!H14="","–",Revenue!H14)</f>
        <v/>
      </c>
    </row>
    <row r="20" ht="17" customHeight="1">
      <c r="I20" s="56">
        <f>Revenue!A15</f>
        <v/>
      </c>
      <c r="J20" s="57">
        <f>IF(N(Revenue!C15)=0,"–",FIXED(Revenue!C15,0)&amp;IF(OR(Revenue!B15="m²",Revenue!B15="",Revenue!B15="—"),""," "&amp;Revenue!B15))</f>
        <v/>
      </c>
      <c r="K20" s="57">
        <f>IF(Revenue!G15="","–","$ "&amp;FIXED(Revenue!G15,0))</f>
        <v/>
      </c>
      <c r="L20" s="58">
        <f>Revenue!D15</f>
        <v/>
      </c>
      <c r="M20" s="59">
        <f>Revenue!I15</f>
        <v/>
      </c>
      <c r="N20" s="57">
        <f>IF(N(Revenue!E15)&gt;0,FIXED(Revenue!E15,0),IF(N(Revenue!F15)&gt;0,"$ "&amp;FIXED((Revenue!F15)/1000000,0)&amp;" M","–"))</f>
        <v/>
      </c>
      <c r="O20" s="60">
        <f>IF(Revenue!H15="","–",Revenue!H15)</f>
        <v/>
      </c>
    </row>
    <row r="21" ht="17" customHeight="1">
      <c r="I21" s="56">
        <f>Revenue!A16</f>
        <v/>
      </c>
      <c r="J21" s="57">
        <f>IF(N(Revenue!C16)=0,"–",FIXED(Revenue!C16,0)&amp;IF(OR(Revenue!B16="m²",Revenue!B16="",Revenue!B16="—"),""," "&amp;Revenue!B16))</f>
        <v/>
      </c>
      <c r="K21" s="57">
        <f>IF(Revenue!G16="","–","$ "&amp;FIXED(Revenue!G16,0))</f>
        <v/>
      </c>
      <c r="L21" s="58">
        <f>Revenue!D16</f>
        <v/>
      </c>
      <c r="M21" s="59">
        <f>Revenue!I16</f>
        <v/>
      </c>
      <c r="N21" s="57">
        <f>IF(N(Revenue!E16)&gt;0,FIXED(Revenue!E16,0),IF(N(Revenue!F16)&gt;0,"$ "&amp;FIXED((Revenue!F16)/1000000,0)&amp;" M","–"))</f>
        <v/>
      </c>
      <c r="O21" s="60">
        <f>IF(Revenue!H16="","–",Revenue!H16)</f>
        <v/>
      </c>
    </row>
    <row r="22" ht="17" customHeight="1">
      <c r="I22" s="56">
        <f>Revenue!A17</f>
        <v/>
      </c>
      <c r="J22" s="57">
        <f>IF(N(Revenue!C17)=0,"–",FIXED(Revenue!C17,0)&amp;IF(OR(Revenue!B17="m²",Revenue!B17="",Revenue!B17="—"),""," "&amp;Revenue!B17))</f>
        <v/>
      </c>
      <c r="K22" s="57">
        <f>IF(Revenue!G17="","–","$ "&amp;FIXED(Revenue!G17,0))</f>
        <v/>
      </c>
      <c r="L22" s="58">
        <f>Revenue!D17</f>
        <v/>
      </c>
      <c r="M22" s="59">
        <f>Revenue!I17</f>
        <v/>
      </c>
      <c r="N22" s="57">
        <f>IF(N(Revenue!E17)&gt;0,FIXED(Revenue!E17,0),IF(N(Revenue!F17)&gt;0,"$ "&amp;FIXED((Revenue!F17)/1000000,0)&amp;" M","–"))</f>
        <v/>
      </c>
      <c r="O22" s="60">
        <f>IF(Revenue!H17="","–",Revenue!H17)</f>
        <v/>
      </c>
    </row>
    <row r="23" ht="17" customHeight="1">
      <c r="I23" s="56">
        <f>Revenue!A18</f>
        <v/>
      </c>
      <c r="J23" s="57">
        <f>IF(N(Revenue!C18)=0,"–",FIXED(Revenue!C18,0)&amp;IF(OR(Revenue!B18="m²",Revenue!B18="",Revenue!B18="—"),""," "&amp;Revenue!B18))</f>
        <v/>
      </c>
      <c r="K23" s="57">
        <f>IF(Revenue!G18="","–","$ "&amp;FIXED(Revenue!G18,0))</f>
        <v/>
      </c>
      <c r="L23" s="58">
        <f>Revenue!D18</f>
        <v/>
      </c>
      <c r="M23" s="59">
        <f>Revenue!I18</f>
        <v/>
      </c>
      <c r="N23" s="57">
        <f>IF(N(Revenue!E18)&gt;0,FIXED(Revenue!E18,0),IF(N(Revenue!F18)&gt;0,"$ "&amp;FIXED((Revenue!F18)/1000000,0)&amp;" M","–"))</f>
        <v/>
      </c>
      <c r="O23" s="60">
        <f>IF(Revenue!H18="","–",Revenue!H18)</f>
        <v/>
      </c>
    </row>
    <row r="24" ht="17" customHeight="1">
      <c r="I24" s="66">
        <f>Revenue!A19</f>
        <v/>
      </c>
      <c r="J24" s="67" t="inlineStr"/>
      <c r="K24" s="67" t="inlineStr"/>
      <c r="L24" s="68">
        <f>Revenue!D19</f>
        <v/>
      </c>
      <c r="M24" s="69">
        <f>Revenue!I19</f>
        <v/>
      </c>
      <c r="N24" s="67" t="inlineStr"/>
      <c r="O24" s="69" t="inlineStr"/>
    </row>
    <row r="26" ht="6" customHeight="1">
      <c r="Q26" s="40" t="n"/>
      <c r="R26" s="40" t="n"/>
    </row>
    <row r="27" ht="16" customHeight="1">
      <c r="Q27" s="70">
        <f>IF(R27="","","●")</f>
        <v/>
      </c>
      <c r="R27" s="71">
        <f>IFERROR(INDEX($BF$46:$BF$49,MATCH(1,$BH$46:$BH$49,0)),"")</f>
        <v/>
      </c>
      <c r="BI27">
        <f>IFERROR(INDEX($BG$46:$BG$49,MATCH(1,$BH$46:$BH$49,0)),0)</f>
        <v/>
      </c>
    </row>
    <row r="28" ht="16" customHeight="1">
      <c r="Q28" s="70">
        <f>IF(R28="","","●")</f>
        <v/>
      </c>
      <c r="R28" s="71">
        <f>IFERROR(INDEX($BF$46:$BF$49,MATCH(2,$BH$46:$BH$49,0)),"")</f>
        <v/>
      </c>
      <c r="BJ28">
        <f>IFERROR(INDEX($BG$46:$BG$49,MATCH(2,$BH$46:$BH$49,0)),0)</f>
        <v/>
      </c>
    </row>
    <row r="29" ht="4" customHeight="1">
      <c r="Q29" s="40" t="n"/>
      <c r="R29" s="40" t="n"/>
    </row>
    <row r="40">
      <c r="BD40">
        <f>IF(AND(ISNUMBER(Revenue!H5),Revenue!H5&lt;$BA$2),Revenue!A5&amp;" "&amp;ROUND((Revenue!H5)*100,0)&amp;"%"&amp;", ","")</f>
        <v/>
      </c>
      <c r="BE40">
        <f>IF((BD40&amp;BD41&amp;BD42&amp;BD43&amp;BD44&amp;BD45&amp;BD46&amp;BD47&amp;BD48&amp;BD49&amp;BD50&amp;BD51)="","",LEFT(BD40&amp;BD41&amp;BD42&amp;BD43&amp;BD44&amp;BD45&amp;BD46&amp;BD47&amp;BD48&amp;BD49&amp;BD50&amp;BD51,LEN(BD40&amp;BD41&amp;BD42&amp;BD43&amp;BD44&amp;BD45&amp;BD46&amp;BD47&amp;BD48&amp;BD49&amp;BD50&amp;BD51)-2))</f>
        <v/>
      </c>
    </row>
    <row r="41">
      <c r="BD41">
        <f>IF(AND(ISNUMBER(Revenue!H6),Revenue!H6&lt;$BA$2),Revenue!A6&amp;" "&amp;ROUND((Revenue!H6)*100,0)&amp;"%"&amp;", ","")</f>
        <v/>
      </c>
    </row>
    <row r="42">
      <c r="BD42">
        <f>IF(AND(ISNUMBER(Revenue!H8),Revenue!H8&lt;$BA$2),Revenue!A8&amp;" "&amp;ROUND((Revenue!H8)*100,0)&amp;"%"&amp;", ","")</f>
        <v/>
      </c>
    </row>
    <row r="43">
      <c r="BD43">
        <f>IF(AND(ISNUMBER(Revenue!H9),Revenue!H9&lt;$BA$2),Revenue!A9&amp;" "&amp;ROUND((Revenue!H9)*100,0)&amp;"%"&amp;", ","")</f>
        <v/>
      </c>
    </row>
    <row r="44">
      <c r="BD44">
        <f>IF(AND(ISNUMBER(Revenue!H10),Revenue!H10&lt;$BA$2),Revenue!A10&amp;" "&amp;ROUND((Revenue!H10)*100,0)&amp;"%"&amp;", ","")</f>
        <v/>
      </c>
    </row>
    <row r="45">
      <c r="BD45">
        <f>IF(AND(ISNUMBER(Revenue!H11),Revenue!H11&lt;$BA$2),Revenue!A11&amp;" "&amp;ROUND((Revenue!H11)*100,0)&amp;"%"&amp;", ","")</f>
        <v/>
      </c>
    </row>
    <row r="46">
      <c r="BD46">
        <f>IF(AND(ISNUMBER(Revenue!H13),Revenue!H13&lt;$BA$2),Revenue!A13&amp;" "&amp;ROUND((Revenue!H13)*100,0)&amp;"%"&amp;", ","")</f>
        <v/>
      </c>
      <c r="BF46">
        <f>IFERROR(IF(Comentarios!$B$7="","",Comentarios!$B$7),"")</f>
        <v/>
      </c>
      <c r="BG46">
        <f>IFERROR(4,4)</f>
        <v/>
      </c>
      <c r="BH46">
        <f>0+IF(BF46="",0,1)</f>
        <v/>
      </c>
    </row>
    <row r="47">
      <c r="BD47">
        <f>IF(AND(ISNUMBER(Revenue!H14),Revenue!H14&lt;$BA$2),Revenue!A14&amp;" "&amp;ROUND((Revenue!H14)*100,0)&amp;"%"&amp;", ","")</f>
        <v/>
      </c>
      <c r="BF47">
        <f>IFERROR(IF(Comentarios!$B$8="","",Comentarios!$B$8),"")</f>
        <v/>
      </c>
      <c r="BG47">
        <f>IFERROR(4,4)</f>
        <v/>
      </c>
      <c r="BH47">
        <f>BH46+IF(BF47="",0,1)</f>
        <v/>
      </c>
    </row>
    <row r="48">
      <c r="BD48">
        <f>IF(AND(ISNUMBER(Revenue!H15),Revenue!H15&lt;$BA$2),Revenue!A15&amp;" "&amp;ROUND((Revenue!H15)*100,0)&amp;"%"&amp;", ","")</f>
        <v/>
      </c>
      <c r="BF48">
        <f>IFERROR("Premium concentra "&amp;ROUND((Revenue!$D$7/(Revenue!$D$19-Revenue!$D$18))*100,0)&amp;"%"&amp;" del revenue de producto ("&amp;"$ "&amp;FIXED((Revenue!$D$7)/1000000,0)&amp;" M"&amp;").","")</f>
        <v/>
      </c>
      <c r="BG48">
        <f>IFERROR(4,4)</f>
        <v/>
      </c>
      <c r="BH48">
        <f>BH47+IF(BF48="",0,1)</f>
        <v/>
      </c>
    </row>
    <row r="49">
      <c r="BD49">
        <f>IF(AND(ISNUMBER(Revenue!H16),Revenue!H16&lt;$BA$2),Revenue!A16&amp;" "&amp;ROUND((Revenue!H16)*100,0)&amp;"%"&amp;", ","")</f>
        <v/>
      </c>
      <c r="BF49">
        <f>IFERROR(IF($BE$40="","Todas las líneas con Budget están sobre el umbral amarillo.","Bajo umbral vs Budget: "&amp;$BE$40&amp;"."),"")</f>
        <v/>
      </c>
      <c r="BG49">
        <f>IFERROR(IF($BE$40="",3,1),4)</f>
        <v/>
      </c>
      <c r="BH49">
        <f>BH48+IF(BF49="",0,1)</f>
        <v/>
      </c>
    </row>
    <row r="50">
      <c r="BD50">
        <f>IF(AND(ISNUMBER(Revenue!H17),Revenue!H17&lt;$BA$2),Revenue!A17&amp;" "&amp;ROUND((Revenue!H17)*100,0)&amp;"%"&amp;", ","")</f>
        <v/>
      </c>
    </row>
    <row r="51">
      <c r="BD51">
        <f>IF(AND(ISNUMBER(Revenue!H18),Revenue!H18&lt;$BA$2),Revenue!A18&amp;" "&amp;ROUND((Revenue!H18)*100,0)&amp;"%"&amp;", ","")</f>
        <v/>
      </c>
    </row>
    <row r="60">
      <c r="BK60">
        <f>Revenue!A5</f>
        <v/>
      </c>
      <c r="BL60">
        <f>N(Revenue!D5)/1000000</f>
        <v/>
      </c>
      <c r="BM60">
        <f>BL60+(12-0)/1000000000</f>
        <v/>
      </c>
    </row>
    <row r="61">
      <c r="BK61">
        <f>Revenue!A6</f>
        <v/>
      </c>
      <c r="BL61">
        <f>N(Revenue!D6)/1000000</f>
        <v/>
      </c>
      <c r="BM61">
        <f>BL61+(12-1)/1000000000</f>
        <v/>
      </c>
    </row>
    <row r="62">
      <c r="BK62">
        <f>Revenue!A8</f>
        <v/>
      </c>
      <c r="BL62">
        <f>N(Revenue!D8)/1000000</f>
        <v/>
      </c>
      <c r="BM62">
        <f>BL62+(12-2)/1000000000</f>
        <v/>
      </c>
    </row>
    <row r="63">
      <c r="BK63">
        <f>Revenue!A9</f>
        <v/>
      </c>
      <c r="BL63">
        <f>N(Revenue!D9)/1000000</f>
        <v/>
      </c>
      <c r="BM63">
        <f>BL63+(12-3)/1000000000</f>
        <v/>
      </c>
    </row>
    <row r="64">
      <c r="BK64">
        <f>Revenue!A10</f>
        <v/>
      </c>
      <c r="BL64">
        <f>N(Revenue!D10)/1000000</f>
        <v/>
      </c>
      <c r="BM64">
        <f>BL64+(12-4)/1000000000</f>
        <v/>
      </c>
    </row>
    <row r="65">
      <c r="BK65">
        <f>Revenue!A11</f>
        <v/>
      </c>
      <c r="BL65">
        <f>N(Revenue!D11)/1000000</f>
        <v/>
      </c>
      <c r="BM65">
        <f>BL65+(12-5)/1000000000</f>
        <v/>
      </c>
    </row>
    <row r="66">
      <c r="BK66">
        <f>Revenue!A13</f>
        <v/>
      </c>
      <c r="BL66">
        <f>N(Revenue!D13)/1000000</f>
        <v/>
      </c>
      <c r="BM66">
        <f>BL66+(12-6)/1000000000</f>
        <v/>
      </c>
    </row>
    <row r="67">
      <c r="BK67">
        <f>Revenue!A14</f>
        <v/>
      </c>
      <c r="BL67">
        <f>N(Revenue!D14)/1000000</f>
        <v/>
      </c>
      <c r="BM67">
        <f>BL67+(12-7)/1000000000</f>
        <v/>
      </c>
    </row>
    <row r="68">
      <c r="BK68">
        <f>Revenue!A15</f>
        <v/>
      </c>
      <c r="BL68">
        <f>N(Revenue!D15)/1000000</f>
        <v/>
      </c>
      <c r="BM68">
        <f>BL68+(12-8)/1000000000</f>
        <v/>
      </c>
    </row>
    <row r="69">
      <c r="BK69">
        <f>Revenue!A16</f>
        <v/>
      </c>
      <c r="BL69">
        <f>N(Revenue!D16)/1000000</f>
        <v/>
      </c>
      <c r="BM69">
        <f>BL69+(12-9)/1000000000</f>
        <v/>
      </c>
    </row>
    <row r="70">
      <c r="BK70">
        <f>Revenue!A17</f>
        <v/>
      </c>
      <c r="BL70">
        <f>N(Revenue!D17)/1000000</f>
        <v/>
      </c>
      <c r="BM70">
        <f>BL70+(12-10)/1000000000</f>
        <v/>
      </c>
    </row>
    <row r="71">
      <c r="BK71">
        <f>Revenue!A18</f>
        <v/>
      </c>
      <c r="BL71">
        <f>N(Revenue!D18)/1000000</f>
        <v/>
      </c>
      <c r="BM71">
        <f>BL71+(12-11)/1000000000</f>
        <v/>
      </c>
    </row>
  </sheetData>
  <mergeCells count="2">
    <mergeCell ref="A2:E2"/>
    <mergeCell ref="A1:E1"/>
  </mergeCells>
  <conditionalFormatting sqref="E6">
    <cfRule type="expression" priority="1" dxfId="3" stopIfTrue="1">
      <formula>$BC$6=1</formula>
    </cfRule>
    <cfRule type="expression" priority="2" dxfId="4" stopIfTrue="1">
      <formula>$BC$6=2</formula>
    </cfRule>
    <cfRule type="expression" priority="3" dxfId="5" stopIfTrue="1">
      <formula>$BC$6=3</formula>
    </cfRule>
    <cfRule type="expression" priority="4" dxfId="6" stopIfTrue="1">
      <formula>$BC$6=4</formula>
    </cfRule>
  </conditionalFormatting>
  <conditionalFormatting sqref="O10">
    <cfRule type="expression" priority="5" dxfId="0" stopIfTrue="1">
      <formula>AND(ISNUMBER(O10),O10&gt;=$BA$1)</formula>
    </cfRule>
    <cfRule type="expression" priority="6" dxfId="1" stopIfTrue="1">
      <formula>AND(ISNUMBER(O10),O10&gt;=$BA$2)</formula>
    </cfRule>
    <cfRule type="expression" priority="7" dxfId="2" stopIfTrue="1">
      <formula>ISNUMBER(O10)</formula>
    </cfRule>
  </conditionalFormatting>
  <conditionalFormatting sqref="O11">
    <cfRule type="expression" priority="8" dxfId="0" stopIfTrue="1">
      <formula>AND(ISNUMBER(O11),O11&gt;=$BA$1)</formula>
    </cfRule>
    <cfRule type="expression" priority="9" dxfId="1" stopIfTrue="1">
      <formula>AND(ISNUMBER(O11),O11&gt;=$BA$2)</formula>
    </cfRule>
    <cfRule type="expression" priority="10" dxfId="2" stopIfTrue="1">
      <formula>ISNUMBER(O11)</formula>
    </cfRule>
  </conditionalFormatting>
  <conditionalFormatting sqref="O12">
    <cfRule type="expression" priority="11" dxfId="0" stopIfTrue="1">
      <formula>AND(ISNUMBER(O12),O12&gt;=$BA$1)</formula>
    </cfRule>
    <cfRule type="expression" priority="12" dxfId="1" stopIfTrue="1">
      <formula>AND(ISNUMBER(O12),O12&gt;=$BA$2)</formula>
    </cfRule>
    <cfRule type="expression" priority="13" dxfId="2" stopIfTrue="1">
      <formula>ISNUMBER(O12)</formula>
    </cfRule>
  </conditionalFormatting>
  <conditionalFormatting sqref="O13">
    <cfRule type="expression" priority="14" dxfId="0" stopIfTrue="1">
      <formula>AND(ISNUMBER(O13),O13&gt;=$BA$1)</formula>
    </cfRule>
    <cfRule type="expression" priority="15" dxfId="1" stopIfTrue="1">
      <formula>AND(ISNUMBER(O13),O13&gt;=$BA$2)</formula>
    </cfRule>
    <cfRule type="expression" priority="16" dxfId="2" stopIfTrue="1">
      <formula>ISNUMBER(O13)</formula>
    </cfRule>
  </conditionalFormatting>
  <conditionalFormatting sqref="O14">
    <cfRule type="expression" priority="17" dxfId="0" stopIfTrue="1">
      <formula>AND(ISNUMBER(O14),O14&gt;=$BA$1)</formula>
    </cfRule>
    <cfRule type="expression" priority="18" dxfId="1" stopIfTrue="1">
      <formula>AND(ISNUMBER(O14),O14&gt;=$BA$2)</formula>
    </cfRule>
    <cfRule type="expression" priority="19" dxfId="2" stopIfTrue="1">
      <formula>ISNUMBER(O14)</formula>
    </cfRule>
  </conditionalFormatting>
  <conditionalFormatting sqref="O15">
    <cfRule type="expression" priority="20" dxfId="0" stopIfTrue="1">
      <formula>AND(ISNUMBER(O15),O15&gt;=$BA$1)</formula>
    </cfRule>
    <cfRule type="expression" priority="21" dxfId="1" stopIfTrue="1">
      <formula>AND(ISNUMBER(O15),O15&gt;=$BA$2)</formula>
    </cfRule>
    <cfRule type="expression" priority="22" dxfId="2" stopIfTrue="1">
      <formula>ISNUMBER(O15)</formula>
    </cfRule>
  </conditionalFormatting>
  <conditionalFormatting sqref="O16">
    <cfRule type="expression" priority="23" dxfId="0" stopIfTrue="1">
      <formula>AND(ISNUMBER(O16),O16&gt;=$BA$1)</formula>
    </cfRule>
    <cfRule type="expression" priority="24" dxfId="1" stopIfTrue="1">
      <formula>AND(ISNUMBER(O16),O16&gt;=$BA$2)</formula>
    </cfRule>
    <cfRule type="expression" priority="25" dxfId="2" stopIfTrue="1">
      <formula>ISNUMBER(O16)</formula>
    </cfRule>
  </conditionalFormatting>
  <conditionalFormatting sqref="O17">
    <cfRule type="expression" priority="26" dxfId="0" stopIfTrue="1">
      <formula>AND(ISNUMBER(O17),O17&gt;=$BA$1)</formula>
    </cfRule>
    <cfRule type="expression" priority="27" dxfId="1" stopIfTrue="1">
      <formula>AND(ISNUMBER(O17),O17&gt;=$BA$2)</formula>
    </cfRule>
    <cfRule type="expression" priority="28" dxfId="2" stopIfTrue="1">
      <formula>ISNUMBER(O17)</formula>
    </cfRule>
  </conditionalFormatting>
  <conditionalFormatting sqref="O18">
    <cfRule type="expression" priority="29" dxfId="0" stopIfTrue="1">
      <formula>AND(ISNUMBER(O18),O18&gt;=$BA$1)</formula>
    </cfRule>
    <cfRule type="expression" priority="30" dxfId="1" stopIfTrue="1">
      <formula>AND(ISNUMBER(O18),O18&gt;=$BA$2)</formula>
    </cfRule>
    <cfRule type="expression" priority="31" dxfId="2" stopIfTrue="1">
      <formula>ISNUMBER(O18)</formula>
    </cfRule>
  </conditionalFormatting>
  <conditionalFormatting sqref="O19">
    <cfRule type="expression" priority="32" dxfId="0" stopIfTrue="1">
      <formula>AND(ISNUMBER(O19),O19&gt;=$BA$1)</formula>
    </cfRule>
    <cfRule type="expression" priority="33" dxfId="1" stopIfTrue="1">
      <formula>AND(ISNUMBER(O19),O19&gt;=$BA$2)</formula>
    </cfRule>
    <cfRule type="expression" priority="34" dxfId="2" stopIfTrue="1">
      <formula>ISNUMBER(O19)</formula>
    </cfRule>
  </conditionalFormatting>
  <conditionalFormatting sqref="O20">
    <cfRule type="expression" priority="35" dxfId="0" stopIfTrue="1">
      <formula>AND(ISNUMBER(O20),O20&gt;=$BA$1)</formula>
    </cfRule>
    <cfRule type="expression" priority="36" dxfId="1" stopIfTrue="1">
      <formula>AND(ISNUMBER(O20),O20&gt;=$BA$2)</formula>
    </cfRule>
    <cfRule type="expression" priority="37" dxfId="2" stopIfTrue="1">
      <formula>ISNUMBER(O20)</formula>
    </cfRule>
  </conditionalFormatting>
  <conditionalFormatting sqref="O21">
    <cfRule type="expression" priority="38" dxfId="0" stopIfTrue="1">
      <formula>AND(ISNUMBER(O21),O21&gt;=$BA$1)</formula>
    </cfRule>
    <cfRule type="expression" priority="39" dxfId="1" stopIfTrue="1">
      <formula>AND(ISNUMBER(O21),O21&gt;=$BA$2)</formula>
    </cfRule>
    <cfRule type="expression" priority="40" dxfId="2" stopIfTrue="1">
      <formula>ISNUMBER(O21)</formula>
    </cfRule>
  </conditionalFormatting>
  <conditionalFormatting sqref="O22">
    <cfRule type="expression" priority="41" dxfId="0" stopIfTrue="1">
      <formula>AND(ISNUMBER(O22),O22&gt;=$BA$1)</formula>
    </cfRule>
    <cfRule type="expression" priority="42" dxfId="1" stopIfTrue="1">
      <formula>AND(ISNUMBER(O22),O22&gt;=$BA$2)</formula>
    </cfRule>
    <cfRule type="expression" priority="43" dxfId="2" stopIfTrue="1">
      <formula>ISNUMBER(O22)</formula>
    </cfRule>
  </conditionalFormatting>
  <conditionalFormatting sqref="O23">
    <cfRule type="expression" priority="44" dxfId="0" stopIfTrue="1">
      <formula>AND(ISNUMBER(O23),O23&gt;=$BA$1)</formula>
    </cfRule>
    <cfRule type="expression" priority="45" dxfId="1" stopIfTrue="1">
      <formula>AND(ISNUMBER(O23),O23&gt;=$BA$2)</formula>
    </cfRule>
    <cfRule type="expression" priority="46" dxfId="2" stopIfTrue="1">
      <formula>ISNUMBER(O23)</formula>
    </cfRule>
  </conditionalFormatting>
  <conditionalFormatting sqref="Q27">
    <cfRule type="expression" priority="47" dxfId="3" stopIfTrue="1">
      <formula>$BI$27=1</formula>
    </cfRule>
    <cfRule type="expression" priority="48" dxfId="4" stopIfTrue="1">
      <formula>$BI$27=2</formula>
    </cfRule>
    <cfRule type="expression" priority="49" dxfId="5" stopIfTrue="1">
      <formula>$BI$27=3</formula>
    </cfRule>
    <cfRule type="expression" priority="50" dxfId="6" stopIfTrue="1">
      <formula>$BI$27=4</formula>
    </cfRule>
  </conditionalFormatting>
  <conditionalFormatting sqref="Q28">
    <cfRule type="expression" priority="51" dxfId="3" stopIfTrue="1">
      <formula>$BJ$28=1</formula>
    </cfRule>
    <cfRule type="expression" priority="52" dxfId="4" stopIfTrue="1">
      <formula>$BJ$28=2</formula>
    </cfRule>
    <cfRule type="expression" priority="53" dxfId="5" stopIfTrue="1">
      <formula>$BJ$28=3</formula>
    </cfRule>
    <cfRule type="expression" priority="54" dxfId="6" stopIfTrue="1">
      <formula>$BJ$28=4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2545"/>
    <outlinePr summaryBelow="1" summaryRight="1"/>
    <pageSetUpPr/>
  </sheetPr>
  <dimension ref="A1:CK63"/>
  <sheetViews>
    <sheetView showGridLines="0" zoomScale="90" workbookViewId="0">
      <selection activeCell="A1" sqref="A1"/>
    </sheetView>
  </sheetViews>
  <sheetFormatPr baseColWidth="8" defaultRowHeight="15"/>
  <cols>
    <col width="40.42857142857143" customWidth="1" min="1" max="1"/>
    <col width="2.714285714285714" customWidth="1" min="2" max="2"/>
    <col width="40.42857142857143" customWidth="1" min="3" max="3"/>
    <col width="2.714285714285714" customWidth="1" min="4" max="4"/>
    <col width="40.42857142857143" customWidth="1" min="5" max="5"/>
    <col width="2.714285714285714" customWidth="1" min="6" max="6"/>
    <col width="40.42857142857143" customWidth="1" min="7" max="7"/>
    <col width="15.71428571428571" customWidth="1" min="9" max="9"/>
    <col width="10" customWidth="1" min="10" max="10"/>
    <col width="10" customWidth="1" min="11" max="11"/>
    <col width="10" customWidth="1" min="12" max="12"/>
    <col width="10" customWidth="1" min="13" max="13"/>
    <col width="10.85714285714286" customWidth="1" min="14" max="14"/>
    <col width="24" customWidth="1" min="16" max="16"/>
    <col width="13.14285714285714" customWidth="1" min="17" max="17"/>
    <col width="7.428571428571429" customWidth="1" min="18" max="18"/>
    <col width="6" customWidth="1" min="19" max="19"/>
    <col width="8.285714285714286" customWidth="1" min="20" max="20"/>
    <col width="7.714285714285714" customWidth="1" min="21" max="21"/>
    <col width="2.857142857142857" customWidth="1" min="23" max="23"/>
    <col width="29.42857142857143" customWidth="1" min="24" max="24"/>
    <col width="22" customWidth="1" min="80" max="80"/>
    <col width="16" customWidth="1" min="81" max="81"/>
    <col width="16" customWidth="1" min="82" max="82"/>
    <col width="16" customWidth="1" min="83" max="83"/>
    <col width="22" customWidth="1" min="86" max="86"/>
    <col width="16" customWidth="1" min="87" max="87"/>
    <col width="16" customWidth="1" min="88" max="88"/>
    <col width="16" customWidth="1" min="89" max="89"/>
  </cols>
  <sheetData>
    <row r="1" ht="40" customHeight="1">
      <c r="A1" s="28">
        <f>"Order Intake "&amp;Config!$B$3</f>
        <v/>
      </c>
      <c r="F1" s="29" t="n"/>
      <c r="G1" s="30" t="inlineStr">
        <is>
          <t>Comité de Operaciones</t>
        </is>
      </c>
      <c r="AZ1" t="inlineStr">
        <is>
          <t>Umbral verde</t>
        </is>
      </c>
      <c r="BA1">
        <f>Config!$B$8</f>
        <v/>
      </c>
      <c r="CB1" s="31" t="inlineStr">
        <is>
          <t>Order Intake semanal (m²)</t>
        </is>
      </c>
      <c r="CH1" s="31" t="inlineStr">
        <is>
          <t>Acumulado del mes vs Budget (m²)</t>
        </is>
      </c>
    </row>
    <row r="2" ht="22" customHeight="1">
      <c r="A2" s="32">
        <f>Config!$B$10&amp;" · Negocios ganados (m² adjudicados) vs Budget y proyección por ganar"</f>
        <v/>
      </c>
      <c r="F2" s="29" t="n"/>
      <c r="G2" s="33">
        <f>Config!$B$7&amp;" · "&amp;IF(ISNUMBER(Config!$B$6),TEXT(DAY(Config!$B$6),"00")&amp;"/"&amp;TEXT(MONTH(Config!$B$6),"00")&amp;"/"&amp;YEAR(Config!$B$6),Config!$B$6)</f>
        <v/>
      </c>
      <c r="AZ2" t="inlineStr">
        <is>
          <t>Umbral amarillo</t>
        </is>
      </c>
      <c r="BA2">
        <f>Config!$B$9</f>
        <v/>
      </c>
      <c r="CC2" s="34" t="inlineStr">
        <is>
          <t>Budget</t>
        </is>
      </c>
      <c r="CD2" s="34" t="inlineStr">
        <is>
          <t>Ganado</t>
        </is>
      </c>
      <c r="CE2" s="34" t="inlineStr">
        <is>
          <t>Por ganar (ponderado)</t>
        </is>
      </c>
      <c r="CI2" s="34" t="inlineStr">
        <is>
          <t>Budget acumulado</t>
        </is>
      </c>
      <c r="CJ2" s="34" t="inlineStr">
        <is>
          <t>Ganado acumulado</t>
        </is>
      </c>
      <c r="CK2" s="34" t="inlineStr">
        <is>
          <t>Proyectado (ganado + pipeline)</t>
        </is>
      </c>
    </row>
    <row r="3" ht="12" customHeight="1">
      <c r="A3" s="29" t="n"/>
      <c r="B3" s="29" t="n"/>
      <c r="C3" s="29" t="n"/>
      <c r="D3" s="29" t="n"/>
      <c r="E3" s="29" t="n"/>
      <c r="F3" s="29" t="n"/>
      <c r="G3" s="29" t="n"/>
      <c r="CB3" s="35" t="inlineStr">
        <is>
          <t>W1</t>
        </is>
      </c>
      <c r="CC3" s="36">
        <f>Order_Intake!B5</f>
        <v/>
      </c>
      <c r="CD3" s="36">
        <f>N(Order_Intake!C5)</f>
        <v/>
      </c>
      <c r="CE3" s="36">
        <f>Order_Intake!G5</f>
        <v/>
      </c>
      <c r="CH3" s="35" t="inlineStr">
        <is>
          <t>W1</t>
        </is>
      </c>
      <c r="CI3" s="36">
        <f>Order_Intake!H5</f>
        <v/>
      </c>
      <c r="CJ3" s="36">
        <f>Order_Intake!I5</f>
        <v/>
      </c>
      <c r="CK3" s="36">
        <f>Order_Intake!J5</f>
        <v/>
      </c>
    </row>
    <row r="4" ht="20" customHeight="1">
      <c r="A4" s="37" t="inlineStr">
        <is>
          <t>NEGOCIOS GANADOS</t>
        </is>
      </c>
      <c r="B4" s="29" t="n"/>
      <c r="C4" s="37" t="inlineStr">
        <is>
          <t>GAP VS BUDGET</t>
        </is>
      </c>
      <c r="D4" s="29" t="n"/>
      <c r="E4" s="37" t="inlineStr">
        <is>
          <t>CIERRE PROYECTADO MES</t>
        </is>
      </c>
      <c r="F4" s="29" t="n"/>
      <c r="G4" s="37" t="inlineStr">
        <is>
          <t>PIPELINE MES SIGUIENTE</t>
        </is>
      </c>
      <c r="CB4" s="35" t="inlineStr">
        <is>
          <t>W2</t>
        </is>
      </c>
      <c r="CC4" s="36">
        <f>Order_Intake!B6</f>
        <v/>
      </c>
      <c r="CD4" s="36">
        <f>N(Order_Intake!C6)</f>
        <v/>
      </c>
      <c r="CE4" s="36">
        <f>Order_Intake!G6</f>
        <v/>
      </c>
      <c r="CH4" s="35" t="inlineStr">
        <is>
          <t>W2</t>
        </is>
      </c>
      <c r="CI4" s="36">
        <f>Order_Intake!H6</f>
        <v/>
      </c>
      <c r="CJ4" s="36">
        <f>Order_Intake!I6</f>
        <v/>
      </c>
      <c r="CK4" s="36">
        <f>Order_Intake!J6</f>
        <v/>
      </c>
    </row>
    <row r="5" ht="34" customHeight="1">
      <c r="A5" s="38">
        <f>FIXED(Order_Intake!$C$9,0)&amp;" m²"</f>
        <v/>
      </c>
      <c r="B5" s="29" t="n"/>
      <c r="C5" s="38">
        <f>FIXED(Order_Intake!$C$9-Config!$B$11,0)&amp;" m²"</f>
        <v/>
      </c>
      <c r="D5" s="29" t="n"/>
      <c r="E5" s="38">
        <f>FIXED(Order_Intake!$C$9+Order_Intake!$G$9,0)&amp;" m²"</f>
        <v/>
      </c>
      <c r="F5" s="29" t="n"/>
      <c r="G5" s="38">
        <f>FIXED(Pipeline!$H$31-Order_Intake!$G$9,0)&amp;" m²"</f>
        <v/>
      </c>
      <c r="CB5" s="35" t="inlineStr">
        <is>
          <t>W3</t>
        </is>
      </c>
      <c r="CC5" s="36">
        <f>Order_Intake!B7</f>
        <v/>
      </c>
      <c r="CD5" s="36">
        <f>N(Order_Intake!C7)</f>
        <v/>
      </c>
      <c r="CE5" s="36">
        <f>Order_Intake!G7</f>
        <v/>
      </c>
      <c r="CH5" s="35" t="inlineStr">
        <is>
          <t>W3</t>
        </is>
      </c>
      <c r="CI5" s="36">
        <f>Order_Intake!H7</f>
        <v/>
      </c>
      <c r="CJ5" s="36">
        <f>Order_Intake!I7</f>
        <v/>
      </c>
      <c r="CK5" s="36">
        <f>Order_Intake!J7</f>
        <v/>
      </c>
    </row>
    <row r="6" ht="22" customHeight="1">
      <c r="A6" s="39">
        <f>"● "&amp;ROUND((Order_Intake!$C$9/Config!$B$11)*100,0)&amp;"%"&amp;"  "&amp;"del Budget ("&amp;FIXED(Config!$B$11,0)&amp;")"</f>
        <v/>
      </c>
      <c r="B6" s="29" t="n"/>
      <c r="C6" s="53">
        <f>"acumulado a W"&amp;COUNT(Order_Intake!$C$5:$C$8)</f>
        <v/>
      </c>
      <c r="D6" s="29" t="n"/>
      <c r="E6" s="39">
        <f>"● "&amp;ROUND(((Order_Intake!$C$9+Order_Intake!$G$9)/Config!$B$11)*100,0)&amp;"%"&amp;"  "&amp;"con pipeline ponderado "&amp;FIXED(Order_Intake!$G$9,0)</f>
        <v/>
      </c>
      <c r="F6" s="29" t="n"/>
      <c r="G6" s="53">
        <f>"ponderado · "&amp;FIXED((Pipeline!$D$31-SUM(SUMIFS(Pipeline!$D$5:$D$29,Pipeline!$F$5:$F$29,{"W1","W2","W3","W4"}))),0)&amp;" m² brutos"</f>
        <v/>
      </c>
      <c r="BC6">
        <f>IF(NOT(ISNUMBER(Order_Intake!$C$9/Config!$B$11)),4,IF(Order_Intake!$C$9/Config!$B$11&gt;=$BA$1,3,IF(Order_Intake!$C$9/Config!$B$11&gt;=$BA$2,2,1)))</f>
        <v/>
      </c>
      <c r="BD6">
        <f>IF(NOT(ISNUMBER((Order_Intake!$C$9+Order_Intake!$G$9)/Config!$B$11)),4,IF((Order_Intake!$C$9+Order_Intake!$G$9)/Config!$B$11&gt;=$BA$1,3,IF((Order_Intake!$C$9+Order_Intake!$G$9)/Config!$B$11&gt;=$BA$2,2,1)))</f>
        <v/>
      </c>
      <c r="CB6" s="35" t="inlineStr">
        <is>
          <t>W4</t>
        </is>
      </c>
      <c r="CC6" s="36">
        <f>Order_Intake!B8</f>
        <v/>
      </c>
      <c r="CD6" s="36">
        <f>N(Order_Intake!C8)</f>
        <v/>
      </c>
      <c r="CE6" s="36">
        <f>Order_Intake!G8</f>
        <v/>
      </c>
      <c r="CH6" s="35" t="inlineStr">
        <is>
          <t>W4</t>
        </is>
      </c>
      <c r="CI6" s="36">
        <f>Order_Intake!H8</f>
        <v/>
      </c>
      <c r="CJ6" s="36">
        <f>Order_Intake!I8</f>
        <v/>
      </c>
      <c r="CK6" s="36">
        <f>Order_Intake!J8</f>
        <v/>
      </c>
    </row>
    <row r="7" ht="8" customHeight="1">
      <c r="A7" s="40" t="n"/>
      <c r="B7" s="29" t="n"/>
      <c r="C7" s="40" t="n"/>
      <c r="D7" s="29" t="n"/>
      <c r="E7" s="40" t="n"/>
      <c r="F7" s="29" t="n"/>
      <c r="G7" s="40" t="n"/>
    </row>
    <row r="9" ht="24" customHeight="1">
      <c r="I9" s="41" t="inlineStr">
        <is>
          <t>Order Intake</t>
        </is>
      </c>
      <c r="J9" s="42" t="inlineStr">
        <is>
          <t>W1</t>
        </is>
      </c>
      <c r="K9" s="42" t="inlineStr">
        <is>
          <t>W2</t>
        </is>
      </c>
      <c r="L9" s="42" t="inlineStr">
        <is>
          <t>W3</t>
        </is>
      </c>
      <c r="M9" s="42" t="inlineStr">
        <is>
          <t>W4</t>
        </is>
      </c>
      <c r="N9" s="42" t="inlineStr">
        <is>
          <t>Total</t>
        </is>
      </c>
    </row>
    <row r="10" ht="22" customHeight="1">
      <c r="I10" s="43" t="inlineStr">
        <is>
          <t>Budget</t>
        </is>
      </c>
      <c r="J10" s="44">
        <f>Order_Intake!B5</f>
        <v/>
      </c>
      <c r="K10" s="44">
        <f>Order_Intake!B6</f>
        <v/>
      </c>
      <c r="L10" s="44">
        <f>Order_Intake!B7</f>
        <v/>
      </c>
      <c r="M10" s="44">
        <f>Order_Intake!B8</f>
        <v/>
      </c>
      <c r="N10" s="44">
        <f>Config!$B$11</f>
        <v/>
      </c>
    </row>
    <row r="11" ht="22" customHeight="1">
      <c r="I11" s="43" t="inlineStr">
        <is>
          <t>Ganado</t>
        </is>
      </c>
      <c r="J11" s="72">
        <f>IF(Order_Intake!C5="","–",FIXED(Order_Intake!C5,0)&amp;IF(Order_Intake!D5="En curso","*",""))</f>
        <v/>
      </c>
      <c r="K11" s="72">
        <f>IF(Order_Intake!C6="","–",FIXED(Order_Intake!C6,0)&amp;IF(Order_Intake!D6="En curso","*",""))</f>
        <v/>
      </c>
      <c r="L11" s="72">
        <f>IF(Order_Intake!C7="","–",FIXED(Order_Intake!C7,0)&amp;IF(Order_Intake!D7="En curso","*",""))</f>
        <v/>
      </c>
      <c r="M11" s="72">
        <f>IF(Order_Intake!C8="","–",FIXED(Order_Intake!C8,0)&amp;IF(Order_Intake!D8="En curso","*",""))</f>
        <v/>
      </c>
      <c r="N11" s="73">
        <f>Order_Intake!$C$9</f>
        <v/>
      </c>
    </row>
    <row r="12" ht="22" customHeight="1">
      <c r="I12" s="43" t="inlineStr">
        <is>
          <t>Gap</t>
        </is>
      </c>
      <c r="J12" s="44">
        <f>IF(Order_Intake!C5="","–",Order_Intake!E5)</f>
        <v/>
      </c>
      <c r="K12" s="44">
        <f>IF(Order_Intake!C6="","–",Order_Intake!E6)</f>
        <v/>
      </c>
      <c r="L12" s="44">
        <f>IF(Order_Intake!C7="","–",Order_Intake!E7)</f>
        <v/>
      </c>
      <c r="M12" s="44">
        <f>IF(Order_Intake!C8="","–",Order_Intake!E8)</f>
        <v/>
      </c>
      <c r="N12" s="73">
        <f>Order_Intake!$C$9-Config!$B$11</f>
        <v/>
      </c>
    </row>
    <row r="13" ht="22" customHeight="1">
      <c r="I13" s="43" t="inlineStr">
        <is>
          <t>% Cumpl.</t>
        </is>
      </c>
      <c r="J13" s="45">
        <f>IF(Order_Intake!F5="","–",Order_Intake!F5)</f>
        <v/>
      </c>
      <c r="K13" s="45">
        <f>IF(Order_Intake!F6="","–",Order_Intake!F6)</f>
        <v/>
      </c>
      <c r="L13" s="45">
        <f>IF(Order_Intake!F7="","–",Order_Intake!F7)</f>
        <v/>
      </c>
      <c r="M13" s="45">
        <f>IF(Order_Intake!F8="","–",Order_Intake!F8)</f>
        <v/>
      </c>
      <c r="N13" s="45">
        <f>IF(Config!$B$11=0,"–",Order_Intake!$C$9/Config!$B$11)</f>
        <v/>
      </c>
    </row>
    <row r="14" ht="14" customHeight="1">
      <c r="I14" s="49">
        <f>IF(COUNTIF(Order_Intake!D5:D8,"En curso")&gt;0,"* Semana en curso: valor parcial al corte.","")</f>
        <v/>
      </c>
      <c r="J14" s="29" t="n"/>
      <c r="K14" s="29" t="n"/>
      <c r="L14" s="29" t="n"/>
      <c r="M14" s="29" t="n"/>
      <c r="N14" s="29" t="n"/>
    </row>
    <row r="16" ht="22" customHeight="1">
      <c r="P16" s="54" t="inlineStr">
        <is>
          <t>Negocio por ganar</t>
        </is>
      </c>
      <c r="Q16" s="55" t="inlineStr">
        <is>
          <t>Línea</t>
        </is>
      </c>
      <c r="R16" s="55" t="inlineStr">
        <is>
          <t>m²</t>
        </is>
      </c>
      <c r="S16" s="55" t="inlineStr">
        <is>
          <t>Prob.</t>
        </is>
      </c>
      <c r="T16" s="55" t="inlineStr">
        <is>
          <t>Cierre</t>
        </is>
      </c>
      <c r="U16" s="55" t="inlineStr">
        <is>
          <t>Pond.</t>
        </is>
      </c>
    </row>
    <row r="17" ht="19.5" customHeight="1">
      <c r="P17" s="56">
        <f>IFERROR(INDEX(Pipeline!$A$5:$A$29,MATCH(LARGE(Pipeline!$I$5:$I$29,1),Pipeline!$I$5:$I$29,0)),IF(COUNT(Pipeline!$I$5:$I$29)=0,"Sin oportunidades en la hoja Pipeline",""))</f>
        <v/>
      </c>
      <c r="Q17" s="57">
        <f>IFERROR(INDEX(Pipeline!$C$5:$C$29,MATCH(LARGE(Pipeline!$I$5:$I$29,1),Pipeline!$I$5:$I$29,0)),"")</f>
        <v/>
      </c>
      <c r="R17" s="74">
        <f>IFERROR(INDEX(Pipeline!$D$5:$D$29,MATCH(LARGE(Pipeline!$I$5:$I$29,1),Pipeline!$I$5:$I$29,0)),"")</f>
        <v/>
      </c>
      <c r="S17" s="60">
        <f>IFERROR(INDEX(Pipeline!$E$5:$E$29,MATCH(LARGE(Pipeline!$I$5:$I$29,1),Pipeline!$I$5:$I$29,0)),"")</f>
        <v/>
      </c>
      <c r="T17" s="75">
        <f>IF(LEFT(IFERROR(INDEX(Pipeline!$F$5:$F$29,MATCH(LARGE(Pipeline!$I$5:$I$29,1),Pipeline!$I$5:$I$29,0)),""),3)="Mes","Mes sig.",IFERROR(INDEX(Pipeline!$F$5:$F$29,MATCH(LARGE(Pipeline!$I$5:$I$29,1),Pipeline!$I$5:$I$29,0)),""))</f>
        <v/>
      </c>
      <c r="U17" s="76">
        <f>IFERROR(INDEX(Pipeline!$H$5:$H$29,MATCH(LARGE(Pipeline!$I$5:$I$29,1),Pipeline!$I$5:$I$29,0)),"")</f>
        <v/>
      </c>
    </row>
    <row r="18" ht="19.5" customHeight="1">
      <c r="P18" s="56">
        <f>IFERROR(INDEX(Pipeline!$A$5:$A$29,MATCH(LARGE(Pipeline!$I$5:$I$29,2),Pipeline!$I$5:$I$29,0)),"")</f>
        <v/>
      </c>
      <c r="Q18" s="57">
        <f>IFERROR(INDEX(Pipeline!$C$5:$C$29,MATCH(LARGE(Pipeline!$I$5:$I$29,2),Pipeline!$I$5:$I$29,0)),"")</f>
        <v/>
      </c>
      <c r="R18" s="74">
        <f>IFERROR(INDEX(Pipeline!$D$5:$D$29,MATCH(LARGE(Pipeline!$I$5:$I$29,2),Pipeline!$I$5:$I$29,0)),"")</f>
        <v/>
      </c>
      <c r="S18" s="60">
        <f>IFERROR(INDEX(Pipeline!$E$5:$E$29,MATCH(LARGE(Pipeline!$I$5:$I$29,2),Pipeline!$I$5:$I$29,0)),"")</f>
        <v/>
      </c>
      <c r="T18" s="75">
        <f>IF(LEFT(IFERROR(INDEX(Pipeline!$F$5:$F$29,MATCH(LARGE(Pipeline!$I$5:$I$29,2),Pipeline!$I$5:$I$29,0)),""),3)="Mes","Mes sig.",IFERROR(INDEX(Pipeline!$F$5:$F$29,MATCH(LARGE(Pipeline!$I$5:$I$29,2),Pipeline!$I$5:$I$29,0)),""))</f>
        <v/>
      </c>
      <c r="U18" s="76">
        <f>IFERROR(INDEX(Pipeline!$H$5:$H$29,MATCH(LARGE(Pipeline!$I$5:$I$29,2),Pipeline!$I$5:$I$29,0)),"")</f>
        <v/>
      </c>
    </row>
    <row r="19" ht="19.5" customHeight="1">
      <c r="P19" s="56">
        <f>IFERROR(INDEX(Pipeline!$A$5:$A$29,MATCH(LARGE(Pipeline!$I$5:$I$29,3),Pipeline!$I$5:$I$29,0)),"")</f>
        <v/>
      </c>
      <c r="Q19" s="57">
        <f>IFERROR(INDEX(Pipeline!$C$5:$C$29,MATCH(LARGE(Pipeline!$I$5:$I$29,3),Pipeline!$I$5:$I$29,0)),"")</f>
        <v/>
      </c>
      <c r="R19" s="74">
        <f>IFERROR(INDEX(Pipeline!$D$5:$D$29,MATCH(LARGE(Pipeline!$I$5:$I$29,3),Pipeline!$I$5:$I$29,0)),"")</f>
        <v/>
      </c>
      <c r="S19" s="60">
        <f>IFERROR(INDEX(Pipeline!$E$5:$E$29,MATCH(LARGE(Pipeline!$I$5:$I$29,3),Pipeline!$I$5:$I$29,0)),"")</f>
        <v/>
      </c>
      <c r="T19" s="75">
        <f>IF(LEFT(IFERROR(INDEX(Pipeline!$F$5:$F$29,MATCH(LARGE(Pipeline!$I$5:$I$29,3),Pipeline!$I$5:$I$29,0)),""),3)="Mes","Mes sig.",IFERROR(INDEX(Pipeline!$F$5:$F$29,MATCH(LARGE(Pipeline!$I$5:$I$29,3),Pipeline!$I$5:$I$29,0)),""))</f>
        <v/>
      </c>
      <c r="U19" s="76">
        <f>IFERROR(INDEX(Pipeline!$H$5:$H$29,MATCH(LARGE(Pipeline!$I$5:$I$29,3),Pipeline!$I$5:$I$29,0)),"")</f>
        <v/>
      </c>
    </row>
    <row r="20" ht="19.5" customHeight="1">
      <c r="P20" s="56">
        <f>IFERROR(INDEX(Pipeline!$A$5:$A$29,MATCH(LARGE(Pipeline!$I$5:$I$29,4),Pipeline!$I$5:$I$29,0)),"")</f>
        <v/>
      </c>
      <c r="Q20" s="57">
        <f>IFERROR(INDEX(Pipeline!$C$5:$C$29,MATCH(LARGE(Pipeline!$I$5:$I$29,4),Pipeline!$I$5:$I$29,0)),"")</f>
        <v/>
      </c>
      <c r="R20" s="74">
        <f>IFERROR(INDEX(Pipeline!$D$5:$D$29,MATCH(LARGE(Pipeline!$I$5:$I$29,4),Pipeline!$I$5:$I$29,0)),"")</f>
        <v/>
      </c>
      <c r="S20" s="60">
        <f>IFERROR(INDEX(Pipeline!$E$5:$E$29,MATCH(LARGE(Pipeline!$I$5:$I$29,4),Pipeline!$I$5:$I$29,0)),"")</f>
        <v/>
      </c>
      <c r="T20" s="75">
        <f>IF(LEFT(IFERROR(INDEX(Pipeline!$F$5:$F$29,MATCH(LARGE(Pipeline!$I$5:$I$29,4),Pipeline!$I$5:$I$29,0)),""),3)="Mes","Mes sig.",IFERROR(INDEX(Pipeline!$F$5:$F$29,MATCH(LARGE(Pipeline!$I$5:$I$29,4),Pipeline!$I$5:$I$29,0)),""))</f>
        <v/>
      </c>
      <c r="U20" s="76">
        <f>IFERROR(INDEX(Pipeline!$H$5:$H$29,MATCH(LARGE(Pipeline!$I$5:$I$29,4),Pipeline!$I$5:$I$29,0)),"")</f>
        <v/>
      </c>
    </row>
    <row r="21" ht="19.5" customHeight="1">
      <c r="P21" s="56">
        <f>IFERROR(INDEX(Pipeline!$A$5:$A$29,MATCH(LARGE(Pipeline!$I$5:$I$29,5),Pipeline!$I$5:$I$29,0)),"")</f>
        <v/>
      </c>
      <c r="Q21" s="57">
        <f>IFERROR(INDEX(Pipeline!$C$5:$C$29,MATCH(LARGE(Pipeline!$I$5:$I$29,5),Pipeline!$I$5:$I$29,0)),"")</f>
        <v/>
      </c>
      <c r="R21" s="74">
        <f>IFERROR(INDEX(Pipeline!$D$5:$D$29,MATCH(LARGE(Pipeline!$I$5:$I$29,5),Pipeline!$I$5:$I$29,0)),"")</f>
        <v/>
      </c>
      <c r="S21" s="60">
        <f>IFERROR(INDEX(Pipeline!$E$5:$E$29,MATCH(LARGE(Pipeline!$I$5:$I$29,5),Pipeline!$I$5:$I$29,0)),"")</f>
        <v/>
      </c>
      <c r="T21" s="75">
        <f>IF(LEFT(IFERROR(INDEX(Pipeline!$F$5:$F$29,MATCH(LARGE(Pipeline!$I$5:$I$29,5),Pipeline!$I$5:$I$29,0)),""),3)="Mes","Mes sig.",IFERROR(INDEX(Pipeline!$F$5:$F$29,MATCH(LARGE(Pipeline!$I$5:$I$29,5),Pipeline!$I$5:$I$29,0)),""))</f>
        <v/>
      </c>
      <c r="U21" s="76">
        <f>IFERROR(INDEX(Pipeline!$H$5:$H$29,MATCH(LARGE(Pipeline!$I$5:$I$29,5),Pipeline!$I$5:$I$29,0)),"")</f>
        <v/>
      </c>
    </row>
    <row r="23" ht="16" customHeight="1">
      <c r="W23" s="50" t="inlineStr">
        <is>
          <t>ALERTAS</t>
        </is>
      </c>
    </row>
    <row r="24" ht="37" customHeight="1">
      <c r="W24" s="77">
        <f>IF(X24="","","●")</f>
        <v/>
      </c>
      <c r="X24" s="78">
        <f>IFERROR(INDEX($BG$43:$BG$47,MATCH(1,$BI$43:$BI$47,0)),"")</f>
        <v/>
      </c>
      <c r="BJ24">
        <f>IFERROR(INDEX($BH$43:$BH$47,MATCH(1,$BI$43:$BI$47,0)),0)</f>
        <v/>
      </c>
    </row>
    <row r="25" ht="37" customHeight="1">
      <c r="W25" s="77">
        <f>IF(X25="","","●")</f>
        <v/>
      </c>
      <c r="X25" s="78">
        <f>IFERROR(INDEX($BG$43:$BG$47,MATCH(2,$BI$43:$BI$47,0)),"")</f>
        <v/>
      </c>
      <c r="BK25">
        <f>IFERROR(INDEX($BH$43:$BH$47,MATCH(2,$BI$43:$BI$47,0)),0)</f>
        <v/>
      </c>
    </row>
    <row r="26" ht="37" customHeight="1">
      <c r="W26" s="77">
        <f>IF(X26="","","●")</f>
        <v/>
      </c>
      <c r="X26" s="78">
        <f>IFERROR(INDEX($BG$43:$BG$47,MATCH(3,$BI$43:$BI$47,0)),"")</f>
        <v/>
      </c>
      <c r="BL26">
        <f>IFERROR(INDEX($BH$43:$BH$47,MATCH(3,$BI$43:$BI$47,0)),0)</f>
        <v/>
      </c>
    </row>
    <row r="27" ht="4" customHeight="1">
      <c r="W27" s="40" t="n"/>
      <c r="X27" s="40" t="n"/>
    </row>
    <row r="43">
      <c r="BG43">
        <f>IFERROR(IF(Comentarios!$B$9="","",Comentarios!$B$9),"")</f>
        <v/>
      </c>
      <c r="BH43">
        <f>IFERROR(4,4)</f>
        <v/>
      </c>
      <c r="BI43">
        <f>0+IF(BG43="",0,1)</f>
        <v/>
      </c>
    </row>
    <row r="44">
      <c r="BG44">
        <f>IFERROR(IF(Comentarios!$B$10="","",Comentarios!$B$10),"")</f>
        <v/>
      </c>
      <c r="BH44">
        <f>IFERROR(4,4)</f>
        <v/>
      </c>
      <c r="BI44">
        <f>BI43+IF(BG44="",0,1)</f>
        <v/>
      </c>
    </row>
    <row r="45">
      <c r="BG45">
        <f>IFERROR("Acumulado "&amp;ROUND((Order_Intake!$C$9/Config!$B$11)*100,0)&amp;"%"&amp;" del Budget; gap "&amp;FIXED(Order_Intake!$C$9-Config!$B$11,0)&amp;" m².","")</f>
        <v/>
      </c>
      <c r="BH45">
        <f>IFERROR(IF(NOT(ISNUMBER(Order_Intake!$C$9/Config!$B$11)),4,IF(Order_Intake!$C$9/Config!$B$11&gt;=$BA$1,3,IF(Order_Intake!$C$9/Config!$B$11&gt;=$BA$2,2,1))),4)</f>
        <v/>
      </c>
      <c r="BI45">
        <f>BI44+IF(BG45="",0,1)</f>
        <v/>
      </c>
    </row>
    <row r="46">
      <c r="BG46">
        <f>IFERROR(IF($BF$60="","Ninguna semana bajo el umbral amarillo.","Semanas bajo umbral: "&amp;$BF$60&amp;"."),"")</f>
        <v/>
      </c>
      <c r="BH46">
        <f>IFERROR(IF($BF$60="",3,1),4)</f>
        <v/>
      </c>
      <c r="BI46">
        <f>BI45+IF(BG46="",0,1)</f>
        <v/>
      </c>
    </row>
    <row r="47">
      <c r="BG47">
        <f>IFERROR(IF((Config!$B$11-Order_Intake!$C$9)&lt;=0,"Budget del mes cumplido.","Pipeline del mes cubre "&amp;ROUND((Order_Intake!$G$9/(Config!$B$11-Order_Intake!$C$9))*100,0)&amp;"%"&amp;" del gap ("&amp;FIXED(Order_Intake!$G$9,0)&amp;" de "&amp;FIXED((Config!$B$11-Order_Intake!$C$9),0)&amp;" m²)."),"")</f>
        <v/>
      </c>
      <c r="BH47">
        <f>IFERROR(IF((Config!$B$11-Order_Intake!$C$9)&lt;=0,3,IF(NOT(ISNUMBER(Order_Intake!$G$9/(Config!$B$11-Order_Intake!$C$9))),4,IF(Order_Intake!$G$9/(Config!$B$11-Order_Intake!$C$9)&gt;=$BA$1,3,IF(Order_Intake!$G$9/(Config!$B$11-Order_Intake!$C$9)&gt;=$BA$2,2,1)))),4)</f>
        <v/>
      </c>
      <c r="BI47">
        <f>BI46+IF(BG47="",0,1)</f>
        <v/>
      </c>
    </row>
    <row r="60">
      <c r="BE60">
        <f>IF(AND(ISNUMBER(Order_Intake!F5),Order_Intake!F5&lt;$BA$2),"W1 ("&amp;ROUND((Order_Intake!F5)*100,0)&amp;"%"&amp;"), ","")</f>
        <v/>
      </c>
      <c r="BF60">
        <f>IF((BE60&amp;BE61&amp;BE62&amp;BE63)="","",LEFT(BE60&amp;BE61&amp;BE62&amp;BE63,LEN(BE60&amp;BE61&amp;BE62&amp;BE63)-2))</f>
        <v/>
      </c>
    </row>
    <row r="61">
      <c r="BE61">
        <f>IF(AND(ISNUMBER(Order_Intake!F6),Order_Intake!F6&lt;$BA$2),"W2 ("&amp;ROUND((Order_Intake!F6)*100,0)&amp;"%"&amp;"), ","")</f>
        <v/>
      </c>
    </row>
    <row r="62">
      <c r="BE62">
        <f>IF(AND(ISNUMBER(Order_Intake!F7),Order_Intake!F7&lt;$BA$2),"W3 ("&amp;ROUND((Order_Intake!F7)*100,0)&amp;"%"&amp;"), ","")</f>
        <v/>
      </c>
    </row>
    <row r="63">
      <c r="BE63">
        <f>IF(AND(ISNUMBER(Order_Intake!F8),Order_Intake!F8&lt;$BA$2),"W4 ("&amp;ROUND((Order_Intake!F8)*100,0)&amp;"%"&amp;"), ","")</f>
        <v/>
      </c>
    </row>
  </sheetData>
  <mergeCells count="3">
    <mergeCell ref="A2:E2"/>
    <mergeCell ref="W23:X23"/>
    <mergeCell ref="A1:E1"/>
  </mergeCells>
  <conditionalFormatting sqref="A6">
    <cfRule type="expression" priority="1" dxfId="3" stopIfTrue="1">
      <formula>$BC$6=1</formula>
    </cfRule>
    <cfRule type="expression" priority="2" dxfId="4" stopIfTrue="1">
      <formula>$BC$6=2</formula>
    </cfRule>
    <cfRule type="expression" priority="3" dxfId="5" stopIfTrue="1">
      <formula>$BC$6=3</formula>
    </cfRule>
    <cfRule type="expression" priority="4" dxfId="6" stopIfTrue="1">
      <formula>$BC$6=4</formula>
    </cfRule>
  </conditionalFormatting>
  <conditionalFormatting sqref="E6">
    <cfRule type="expression" priority="5" dxfId="3" stopIfTrue="1">
      <formula>$BD$6=1</formula>
    </cfRule>
    <cfRule type="expression" priority="6" dxfId="4" stopIfTrue="1">
      <formula>$BD$6=2</formula>
    </cfRule>
    <cfRule type="expression" priority="7" dxfId="5" stopIfTrue="1">
      <formula>$BD$6=3</formula>
    </cfRule>
    <cfRule type="expression" priority="8" dxfId="6" stopIfTrue="1">
      <formula>$BD$6=4</formula>
    </cfRule>
  </conditionalFormatting>
  <conditionalFormatting sqref="J13">
    <cfRule type="expression" priority="9" dxfId="0" stopIfTrue="1">
      <formula>AND(ISNUMBER(J13),J13&gt;=$BA$1)</formula>
    </cfRule>
    <cfRule type="expression" priority="10" dxfId="1" stopIfTrue="1">
      <formula>AND(ISNUMBER(J13),J13&gt;=$BA$2)</formula>
    </cfRule>
    <cfRule type="expression" priority="11" dxfId="2" stopIfTrue="1">
      <formula>ISNUMBER(J13)</formula>
    </cfRule>
  </conditionalFormatting>
  <conditionalFormatting sqref="K13">
    <cfRule type="expression" priority="12" dxfId="0" stopIfTrue="1">
      <formula>AND(ISNUMBER(K13),K13&gt;=$BA$1)</formula>
    </cfRule>
    <cfRule type="expression" priority="13" dxfId="1" stopIfTrue="1">
      <formula>AND(ISNUMBER(K13),K13&gt;=$BA$2)</formula>
    </cfRule>
    <cfRule type="expression" priority="14" dxfId="2" stopIfTrue="1">
      <formula>ISNUMBER(K13)</formula>
    </cfRule>
  </conditionalFormatting>
  <conditionalFormatting sqref="L13">
    <cfRule type="expression" priority="15" dxfId="0" stopIfTrue="1">
      <formula>AND(ISNUMBER(L13),L13&gt;=$BA$1)</formula>
    </cfRule>
    <cfRule type="expression" priority="16" dxfId="1" stopIfTrue="1">
      <formula>AND(ISNUMBER(L13),L13&gt;=$BA$2)</formula>
    </cfRule>
    <cfRule type="expression" priority="17" dxfId="2" stopIfTrue="1">
      <formula>ISNUMBER(L13)</formula>
    </cfRule>
  </conditionalFormatting>
  <conditionalFormatting sqref="M13">
    <cfRule type="expression" priority="18" dxfId="0" stopIfTrue="1">
      <formula>AND(ISNUMBER(M13),M13&gt;=$BA$1)</formula>
    </cfRule>
    <cfRule type="expression" priority="19" dxfId="1" stopIfTrue="1">
      <formula>AND(ISNUMBER(M13),M13&gt;=$BA$2)</formula>
    </cfRule>
    <cfRule type="expression" priority="20" dxfId="2" stopIfTrue="1">
      <formula>ISNUMBER(M13)</formula>
    </cfRule>
  </conditionalFormatting>
  <conditionalFormatting sqref="N13">
    <cfRule type="expression" priority="21" dxfId="0" stopIfTrue="1">
      <formula>AND(ISNUMBER(N13),N13&gt;=$BA$1)</formula>
    </cfRule>
    <cfRule type="expression" priority="22" dxfId="1" stopIfTrue="1">
      <formula>AND(ISNUMBER(N13),N13&gt;=$BA$2)</formula>
    </cfRule>
    <cfRule type="expression" priority="23" dxfId="2" stopIfTrue="1">
      <formula>ISNUMBER(N13)</formula>
    </cfRule>
  </conditionalFormatting>
  <conditionalFormatting sqref="J12:N12">
    <cfRule type="expression" priority="24" dxfId="5" stopIfTrue="1">
      <formula>AND(ISNUMBER(J12),J12&gt;=0)</formula>
    </cfRule>
    <cfRule type="expression" priority="25" dxfId="3" stopIfTrue="1">
      <formula>AND(ISNUMBER(J12),J12&lt;0)</formula>
    </cfRule>
  </conditionalFormatting>
  <conditionalFormatting sqref="J11">
    <cfRule type="expression" priority="26" dxfId="7" stopIfTrue="1">
      <formula>Order_Intake!$D$5="En curso"</formula>
    </cfRule>
  </conditionalFormatting>
  <conditionalFormatting sqref="K11">
    <cfRule type="expression" priority="27" dxfId="7" stopIfTrue="1">
      <formula>Order_Intake!$D$6="En curso"</formula>
    </cfRule>
  </conditionalFormatting>
  <conditionalFormatting sqref="L11">
    <cfRule type="expression" priority="28" dxfId="7" stopIfTrue="1">
      <formula>Order_Intake!$D$7="En curso"</formula>
    </cfRule>
  </conditionalFormatting>
  <conditionalFormatting sqref="M11">
    <cfRule type="expression" priority="29" dxfId="7" stopIfTrue="1">
      <formula>Order_Intake!$D$8="En curso"</formula>
    </cfRule>
  </conditionalFormatting>
  <conditionalFormatting sqref="W24">
    <cfRule type="expression" priority="30" dxfId="3" stopIfTrue="1">
      <formula>$BJ$24=1</formula>
    </cfRule>
    <cfRule type="expression" priority="31" dxfId="4" stopIfTrue="1">
      <formula>$BJ$24=2</formula>
    </cfRule>
    <cfRule type="expression" priority="32" dxfId="5" stopIfTrue="1">
      <formula>$BJ$24=3</formula>
    </cfRule>
    <cfRule type="expression" priority="33" dxfId="6" stopIfTrue="1">
      <formula>$BJ$24=4</formula>
    </cfRule>
  </conditionalFormatting>
  <conditionalFormatting sqref="W25">
    <cfRule type="expression" priority="34" dxfId="3" stopIfTrue="1">
      <formula>$BK$25=1</formula>
    </cfRule>
    <cfRule type="expression" priority="35" dxfId="4" stopIfTrue="1">
      <formula>$BK$25=2</formula>
    </cfRule>
    <cfRule type="expression" priority="36" dxfId="5" stopIfTrue="1">
      <formula>$BK$25=3</formula>
    </cfRule>
    <cfRule type="expression" priority="37" dxfId="6" stopIfTrue="1">
      <formula>$BK$25=4</formula>
    </cfRule>
  </conditionalFormatting>
  <conditionalFormatting sqref="W26">
    <cfRule type="expression" priority="38" dxfId="3" stopIfTrue="1">
      <formula>$BL$26=1</formula>
    </cfRule>
    <cfRule type="expression" priority="39" dxfId="4" stopIfTrue="1">
      <formula>$BL$26=2</formula>
    </cfRule>
    <cfRule type="expression" priority="40" dxfId="5" stopIfTrue="1">
      <formula>$BL$26=3</formula>
    </cfRule>
    <cfRule type="expression" priority="41" dxfId="6" stopIfTrue="1">
      <formula>$BL$26=4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2026-09-30T21:45:30Z</dcterms:created>
  <dcterms:modified xmlns:dcterms="http://purl.org/dc/terms/" xmlns:xsi="http://www.w3.org/2001/XMLSchema-instance" xsi:type="dcterms:W3CDTF">2026-09-30T21:45:30Z</dcterms:modified>
</cp:coreProperties>
</file>